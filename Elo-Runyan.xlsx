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/>
  <mc:AlternateContent xmlns:mc="http://schemas.openxmlformats.org/markup-compatibility/2006">
    <mc:Choice Requires="x15">
      <x15ac:absPath xmlns:x15ac="http://schemas.microsoft.com/office/spreadsheetml/2010/11/ac" url="C:\Users\daniel.lopez\Dropbox\Pepe\Investigación\Proyectos\Futbol\UNITED26\"/>
    </mc:Choice>
  </mc:AlternateContent>
  <xr:revisionPtr revIDLastSave="0" documentId="13_ncr:1_{C5BD3A17-DC5D-46BB-B060-8FEF7C13C8BB}" xr6:coauthVersionLast="36" xr6:coauthVersionMax="47" xr10:uidLastSave="{00000000-0000-0000-0000-000000000000}"/>
  <bookViews>
    <workbookView xWindow="-120" yWindow="-120" windowWidth="29040" windowHeight="15720" firstSheet="12" activeTab="12" xr2:uid="{7F9506C6-661C-4A18-852B-1F0D11E6CA78}"/>
  </bookViews>
  <sheets>
    <sheet name="Grupo A" sheetId="1" r:id="rId1"/>
    <sheet name="Grupo B" sheetId="2" r:id="rId2"/>
    <sheet name="Grupo C " sheetId="9" r:id="rId3"/>
    <sheet name="Grupo D" sheetId="8" r:id="rId4"/>
    <sheet name="Grupo E" sheetId="7" r:id="rId5"/>
    <sheet name="Grupo F" sheetId="6" r:id="rId6"/>
    <sheet name="Grupo G" sheetId="5" r:id="rId7"/>
    <sheet name="Grupo H" sheetId="4" r:id="rId8"/>
    <sheet name="Grupo I" sheetId="3" r:id="rId9"/>
    <sheet name="Grupo J" sheetId="11" r:id="rId10"/>
    <sheet name="Grupo K" sheetId="10" r:id="rId11"/>
    <sheet name="Grupo L" sheetId="12" r:id="rId12"/>
    <sheet name="Fase de eliminacion" sheetId="13" r:id="rId13"/>
  </sheet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43" i="13" l="1"/>
  <c r="AI16" i="13" l="1"/>
  <c r="AH16" i="13"/>
  <c r="AE45" i="13" s="1"/>
  <c r="C16" i="13"/>
  <c r="B16" i="13"/>
  <c r="G45" i="13" s="1"/>
  <c r="AI14" i="13"/>
  <c r="AD45" i="13" s="1"/>
  <c r="AH14" i="13"/>
  <c r="C14" i="13"/>
  <c r="B14" i="13"/>
  <c r="F45" i="13" s="1"/>
  <c r="AI12" i="13"/>
  <c r="AH12" i="13"/>
  <c r="AE41" i="13" s="1"/>
  <c r="C12" i="13"/>
  <c r="B12" i="13"/>
  <c r="G41" i="13" s="1"/>
  <c r="AI10" i="13"/>
  <c r="AH10" i="13"/>
  <c r="AD41" i="13" s="1"/>
  <c r="C10" i="13"/>
  <c r="B10" i="13"/>
  <c r="F41" i="13" s="1"/>
  <c r="AI8" i="13"/>
  <c r="AH8" i="13"/>
  <c r="AD37" i="13" s="1"/>
  <c r="C8" i="13"/>
  <c r="B8" i="13"/>
  <c r="G37" i="13" s="1"/>
  <c r="AI6" i="13"/>
  <c r="AH6" i="13"/>
  <c r="AE37" i="13" s="1"/>
  <c r="AD7" i="13" s="1"/>
  <c r="C6" i="13"/>
  <c r="F37" i="13" s="1"/>
  <c r="B6" i="13"/>
  <c r="AI4" i="13"/>
  <c r="AE33" i="13" s="1"/>
  <c r="AH4" i="13"/>
  <c r="C4" i="13"/>
  <c r="G33" i="13" s="1"/>
  <c r="B4" i="13"/>
  <c r="AI2" i="13"/>
  <c r="AH2" i="13"/>
  <c r="AD33" i="13" s="1"/>
  <c r="AE3" i="13" s="1"/>
  <c r="C2" i="13"/>
  <c r="F33" i="13" s="1"/>
  <c r="B2" i="13"/>
  <c r="F8" i="5"/>
  <c r="C10" i="10"/>
  <c r="E8" i="10"/>
  <c r="F15" i="13" l="1"/>
  <c r="AE11" i="13"/>
  <c r="AD15" i="13"/>
  <c r="AE15" i="13"/>
  <c r="AA43" i="13" s="1"/>
  <c r="G11" i="13"/>
  <c r="G3" i="13"/>
  <c r="J35" i="13" s="1"/>
  <c r="AA35" i="13"/>
  <c r="AE7" i="13"/>
  <c r="AD11" i="13"/>
  <c r="Z43" i="13" s="1"/>
  <c r="Z35" i="13"/>
  <c r="AA5" i="13" s="1"/>
  <c r="AD3" i="13"/>
  <c r="F7" i="13"/>
  <c r="F11" i="13"/>
  <c r="J43" i="13" s="1"/>
  <c r="K43" i="13"/>
  <c r="G15" i="13"/>
  <c r="F3" i="13"/>
  <c r="G7" i="13"/>
  <c r="K35" i="13" s="1"/>
  <c r="F9" i="11"/>
  <c r="D11" i="11"/>
  <c r="AA13" i="13" l="1"/>
  <c r="J5" i="13"/>
  <c r="K13" i="13"/>
  <c r="O39" i="13" s="1"/>
  <c r="V39" i="13"/>
  <c r="W39" i="13"/>
  <c r="K5" i="13"/>
  <c r="N39" i="13" s="1"/>
  <c r="Z13" i="13"/>
  <c r="J13" i="13"/>
  <c r="Z5" i="13"/>
  <c r="D11" i="3"/>
  <c r="F9" i="3"/>
  <c r="D11" i="5"/>
  <c r="F9" i="5"/>
  <c r="C10" i="6"/>
  <c r="E8" i="6"/>
  <c r="C10" i="7"/>
  <c r="E8" i="7"/>
  <c r="O9" i="13" l="1"/>
  <c r="V9" i="13"/>
  <c r="S43" i="13" s="1"/>
  <c r="W9" i="13"/>
  <c r="S35" i="13" s="1"/>
  <c r="R35" i="13"/>
  <c r="N9" i="13"/>
  <c r="E8" i="2"/>
  <c r="F9" i="2"/>
  <c r="D11" i="2"/>
  <c r="F10" i="10"/>
  <c r="E11" i="11" l="1"/>
  <c r="F10" i="11"/>
  <c r="C9" i="11"/>
  <c r="D8" i="11"/>
  <c r="E11" i="3"/>
  <c r="F10" i="3"/>
  <c r="C9" i="3"/>
  <c r="D8" i="3"/>
  <c r="F10" i="6"/>
  <c r="E11" i="6"/>
  <c r="C9" i="6"/>
  <c r="D8" i="6"/>
  <c r="E17" i="7"/>
  <c r="F16" i="7"/>
  <c r="C15" i="7"/>
  <c r="D14" i="7"/>
  <c r="D8" i="7"/>
  <c r="C9" i="7" s="1"/>
  <c r="E17" i="12"/>
  <c r="F16" i="12"/>
  <c r="D4" i="12" s="1"/>
  <c r="C15" i="12"/>
  <c r="D3" i="12" s="1"/>
  <c r="D14" i="12"/>
  <c r="E17" i="10"/>
  <c r="D5" i="10" s="1"/>
  <c r="F16" i="10"/>
  <c r="D4" i="10" s="1"/>
  <c r="C15" i="10"/>
  <c r="D3" i="10" s="1"/>
  <c r="D14" i="10"/>
  <c r="E17" i="11"/>
  <c r="F16" i="11"/>
  <c r="D4" i="11" s="1"/>
  <c r="C15" i="11"/>
  <c r="D3" i="11" s="1"/>
  <c r="D14" i="11"/>
  <c r="E17" i="3"/>
  <c r="D5" i="3" s="1"/>
  <c r="F16" i="3"/>
  <c r="D4" i="3" s="1"/>
  <c r="C15" i="3"/>
  <c r="D3" i="3" s="1"/>
  <c r="D14" i="3"/>
  <c r="E17" i="4"/>
  <c r="F16" i="4"/>
  <c r="D4" i="4" s="1"/>
  <c r="C15" i="4"/>
  <c r="D3" i="4" s="1"/>
  <c r="D14" i="4"/>
  <c r="E17" i="5"/>
  <c r="D5" i="5" s="1"/>
  <c r="F16" i="5"/>
  <c r="D4" i="5" s="1"/>
  <c r="C15" i="5"/>
  <c r="D3" i="5" s="1"/>
  <c r="D14" i="5"/>
  <c r="E17" i="6"/>
  <c r="D5" i="6" s="1"/>
  <c r="F16" i="6"/>
  <c r="D4" i="6" s="1"/>
  <c r="C15" i="6"/>
  <c r="D14" i="6"/>
  <c r="E17" i="9"/>
  <c r="D5" i="9" s="1"/>
  <c r="F16" i="9"/>
  <c r="D4" i="9" s="1"/>
  <c r="C15" i="9"/>
  <c r="D3" i="9" s="1"/>
  <c r="D14" i="9"/>
  <c r="E17" i="8"/>
  <c r="D5" i="8" s="1"/>
  <c r="F16" i="8"/>
  <c r="D4" i="8" s="1"/>
  <c r="C15" i="8"/>
  <c r="D14" i="8"/>
  <c r="D8" i="8"/>
  <c r="C9" i="8" s="1"/>
  <c r="C15" i="2"/>
  <c r="D3" i="2" s="1"/>
  <c r="D5" i="12"/>
  <c r="D2" i="12"/>
  <c r="D5" i="11"/>
  <c r="D2" i="10"/>
  <c r="D2" i="9"/>
  <c r="D5" i="7"/>
  <c r="D4" i="7"/>
  <c r="D2" i="5"/>
  <c r="D5" i="4"/>
  <c r="D2" i="4"/>
  <c r="E17" i="2"/>
  <c r="D5" i="2" s="1"/>
  <c r="F16" i="2"/>
  <c r="D4" i="2" s="1"/>
  <c r="D14" i="2"/>
  <c r="D2" i="2" s="1"/>
  <c r="E17" i="1"/>
  <c r="D5" i="1"/>
  <c r="F16" i="1"/>
  <c r="D4" i="1" s="1"/>
  <c r="C15" i="1"/>
  <c r="D14" i="1"/>
  <c r="D2" i="1" s="1"/>
  <c r="C9" i="1"/>
  <c r="E14" i="9" l="1"/>
  <c r="E2" i="9" s="1"/>
  <c r="E14" i="12"/>
  <c r="E2" i="12" s="1"/>
  <c r="D2" i="7"/>
  <c r="D2" i="6"/>
  <c r="C16" i="6" s="1"/>
  <c r="D2" i="11"/>
  <c r="D3" i="1"/>
  <c r="D17" i="1" s="1"/>
  <c r="E14" i="4"/>
  <c r="C16" i="10"/>
  <c r="E4" i="10" s="1"/>
  <c r="C16" i="9"/>
  <c r="E4" i="9" s="1"/>
  <c r="D17" i="4"/>
  <c r="E5" i="4" s="1"/>
  <c r="C16" i="12"/>
  <c r="E4" i="12" s="1"/>
  <c r="D17" i="5"/>
  <c r="E5" i="5" s="1"/>
  <c r="F15" i="11"/>
  <c r="E3" i="11" s="1"/>
  <c r="C16" i="7"/>
  <c r="E4" i="7" s="1"/>
  <c r="E14" i="7"/>
  <c r="E2" i="7" s="1"/>
  <c r="E14" i="5"/>
  <c r="E2" i="5" s="1"/>
  <c r="C16" i="5"/>
  <c r="E4" i="5" s="1"/>
  <c r="D2" i="3"/>
  <c r="C16" i="3" s="1"/>
  <c r="E4" i="3" s="1"/>
  <c r="E5" i="1"/>
  <c r="C16" i="4"/>
  <c r="E4" i="4" s="1"/>
  <c r="C16" i="11"/>
  <c r="E4" i="11" s="1"/>
  <c r="E15" i="11" s="1"/>
  <c r="F3" i="11" s="1"/>
  <c r="E14" i="6"/>
  <c r="E2" i="6" s="1"/>
  <c r="D3" i="7"/>
  <c r="D3" i="6"/>
  <c r="F15" i="6" s="1"/>
  <c r="E3" i="6" s="1"/>
  <c r="D2" i="8"/>
  <c r="F15" i="12"/>
  <c r="E3" i="12" s="1"/>
  <c r="D3" i="8"/>
  <c r="F15" i="8" s="1"/>
  <c r="E3" i="8" s="1"/>
  <c r="E15" i="8"/>
  <c r="C16" i="8"/>
  <c r="E4" i="8" s="1"/>
  <c r="F15" i="3"/>
  <c r="E3" i="3" s="1"/>
  <c r="D17" i="3"/>
  <c r="E5" i="3" s="1"/>
  <c r="D17" i="10"/>
  <c r="E5" i="10" s="1"/>
  <c r="F15" i="10"/>
  <c r="E3" i="10" s="1"/>
  <c r="D17" i="7"/>
  <c r="E5" i="7" s="1"/>
  <c r="D17" i="6"/>
  <c r="E5" i="6" s="1"/>
  <c r="E14" i="1"/>
  <c r="E2" i="1" s="1"/>
  <c r="C16" i="1"/>
  <c r="E4" i="1" s="1"/>
  <c r="E14" i="2"/>
  <c r="C16" i="2"/>
  <c r="E4" i="2" s="1"/>
  <c r="D17" i="8"/>
  <c r="E5" i="8" s="1"/>
  <c r="F15" i="9"/>
  <c r="E3" i="9" s="1"/>
  <c r="E2" i="2"/>
  <c r="F15" i="2"/>
  <c r="E3" i="2" s="1"/>
  <c r="D17" i="2"/>
  <c r="E5" i="2" s="1"/>
  <c r="F15" i="7"/>
  <c r="E3" i="7" s="1"/>
  <c r="D17" i="9"/>
  <c r="E5" i="9" s="1"/>
  <c r="F15" i="4"/>
  <c r="E3" i="4" s="1"/>
  <c r="F15" i="5"/>
  <c r="E3" i="5" s="1"/>
  <c r="F15" i="1"/>
  <c r="E3" i="1" s="1"/>
  <c r="D17" i="11"/>
  <c r="E5" i="11" s="1"/>
  <c r="E2" i="4"/>
  <c r="E4" i="6"/>
  <c r="E14" i="11"/>
  <c r="E2" i="11" s="1"/>
  <c r="E14" i="10"/>
  <c r="E2" i="10" s="1"/>
  <c r="D17" i="12"/>
  <c r="E5" i="12" s="1"/>
  <c r="F14" i="12" s="1"/>
  <c r="F2" i="12" s="1"/>
  <c r="F3" i="8" l="1"/>
  <c r="C17" i="7"/>
  <c r="C17" i="5"/>
  <c r="E15" i="4"/>
  <c r="E15" i="2"/>
  <c r="D16" i="12"/>
  <c r="F4" i="12" s="1"/>
  <c r="C17" i="2"/>
  <c r="F5" i="2" s="1"/>
  <c r="F14" i="1"/>
  <c r="F2" i="1" s="1"/>
  <c r="C17" i="1"/>
  <c r="F5" i="1" s="1"/>
  <c r="E14" i="8"/>
  <c r="E2" i="8" s="1"/>
  <c r="E15" i="12"/>
  <c r="F3" i="12" s="1"/>
  <c r="E15" i="5"/>
  <c r="D16" i="11"/>
  <c r="F4" i="11" s="1"/>
  <c r="E14" i="3"/>
  <c r="E2" i="3" s="1"/>
  <c r="C17" i="3" s="1"/>
  <c r="F5" i="3" s="1"/>
  <c r="D16" i="1"/>
  <c r="F4" i="1" s="1"/>
  <c r="D16" i="2"/>
  <c r="F4" i="2" s="1"/>
  <c r="C17" i="11"/>
  <c r="F5" i="11" s="1"/>
  <c r="F14" i="9"/>
  <c r="F2" i="9" s="1"/>
  <c r="C17" i="9"/>
  <c r="F5" i="9" s="1"/>
  <c r="D16" i="7"/>
  <c r="F4" i="7" s="1"/>
  <c r="E15" i="7"/>
  <c r="F3" i="7" s="1"/>
  <c r="D16" i="3"/>
  <c r="F4" i="3" s="1"/>
  <c r="F14" i="6"/>
  <c r="F2" i="6" s="1"/>
  <c r="C17" i="6"/>
  <c r="F5" i="6" s="1"/>
  <c r="E15" i="1"/>
  <c r="F3" i="1" s="1"/>
  <c r="F14" i="3"/>
  <c r="F3" i="4"/>
  <c r="D16" i="4"/>
  <c r="F4" i="4" s="1"/>
  <c r="F14" i="2"/>
  <c r="F2" i="2" s="1"/>
  <c r="D16" i="6"/>
  <c r="F4" i="6" s="1"/>
  <c r="E15" i="6"/>
  <c r="F3" i="6" s="1"/>
  <c r="D16" i="9"/>
  <c r="F4" i="9" s="1"/>
  <c r="C17" i="4"/>
  <c r="F5" i="4" s="1"/>
  <c r="F14" i="4"/>
  <c r="F2" i="4" s="1"/>
  <c r="F5" i="7"/>
  <c r="F14" i="7"/>
  <c r="F2" i="7" s="1"/>
  <c r="F14" i="5"/>
  <c r="F2" i="5" s="1"/>
  <c r="F5" i="5"/>
  <c r="F14" i="11"/>
  <c r="F2" i="11" s="1"/>
  <c r="F3" i="5"/>
  <c r="D16" i="5"/>
  <c r="F4" i="5" s="1"/>
  <c r="F3" i="2"/>
  <c r="E15" i="3"/>
  <c r="F3" i="3" s="1"/>
  <c r="E15" i="9"/>
  <c r="F3" i="9" s="1"/>
  <c r="F14" i="10"/>
  <c r="F2" i="10" s="1"/>
  <c r="C17" i="10"/>
  <c r="F5" i="10" s="1"/>
  <c r="E15" i="10"/>
  <c r="F3" i="10" s="1"/>
  <c r="D16" i="10"/>
  <c r="F4" i="10" s="1"/>
  <c r="C17" i="12"/>
  <c r="F5" i="12" s="1"/>
  <c r="F14" i="8" l="1"/>
  <c r="F2" i="8" s="1"/>
  <c r="C17" i="8"/>
  <c r="F5" i="8" s="1"/>
  <c r="F2" i="3"/>
  <c r="D16" i="8"/>
  <c r="F4" i="8" s="1"/>
</calcChain>
</file>

<file path=xl/sharedStrings.xml><?xml version="1.0" encoding="utf-8"?>
<sst xmlns="http://schemas.openxmlformats.org/spreadsheetml/2006/main" count="585" uniqueCount="65">
  <si>
    <t>jornadas</t>
  </si>
  <si>
    <t>ELO</t>
  </si>
  <si>
    <t>MEX</t>
  </si>
  <si>
    <t>SAF</t>
  </si>
  <si>
    <t>KOR</t>
  </si>
  <si>
    <t>CZE</t>
  </si>
  <si>
    <t>DF</t>
  </si>
  <si>
    <t>x</t>
  </si>
  <si>
    <t>p</t>
  </si>
  <si>
    <t>CAN</t>
  </si>
  <si>
    <t>BIH</t>
  </si>
  <si>
    <t>QAT</t>
  </si>
  <si>
    <t>SUI</t>
  </si>
  <si>
    <t>BRA</t>
  </si>
  <si>
    <t>MAR</t>
  </si>
  <si>
    <t>HAI</t>
  </si>
  <si>
    <t>SCO</t>
  </si>
  <si>
    <t>USA</t>
  </si>
  <si>
    <t>PAR</t>
  </si>
  <si>
    <t>AUS</t>
  </si>
  <si>
    <t>TUR</t>
  </si>
  <si>
    <t>GER</t>
  </si>
  <si>
    <t>CUW</t>
  </si>
  <si>
    <t>CIV</t>
  </si>
  <si>
    <t>ECU</t>
  </si>
  <si>
    <t>NED</t>
  </si>
  <si>
    <t>JPN</t>
  </si>
  <si>
    <t>SWE</t>
  </si>
  <si>
    <t>TUN</t>
  </si>
  <si>
    <t>BEL</t>
  </si>
  <si>
    <t>EGY</t>
  </si>
  <si>
    <t>IRN</t>
  </si>
  <si>
    <t>NZL</t>
  </si>
  <si>
    <t>ESP</t>
  </si>
  <si>
    <t>CPV</t>
  </si>
  <si>
    <t>KSA</t>
  </si>
  <si>
    <t>URU</t>
  </si>
  <si>
    <t>FRA</t>
  </si>
  <si>
    <t>SEN</t>
  </si>
  <si>
    <t>IRQ</t>
  </si>
  <si>
    <t>NOR</t>
  </si>
  <si>
    <t>ARG</t>
  </si>
  <si>
    <t>ALG</t>
  </si>
  <si>
    <t>AUT</t>
  </si>
  <si>
    <t>JOR</t>
  </si>
  <si>
    <t>POR</t>
  </si>
  <si>
    <t>COD</t>
  </si>
  <si>
    <t>UZB</t>
  </si>
  <si>
    <t>COL</t>
  </si>
  <si>
    <t>ENG</t>
  </si>
  <si>
    <t>CRO</t>
  </si>
  <si>
    <t>GHA</t>
  </si>
  <si>
    <t>PAN</t>
  </si>
  <si>
    <t>RONDA DE 32</t>
  </si>
  <si>
    <t>RONDA DE 16</t>
  </si>
  <si>
    <t xml:space="preserve">CUARTOS </t>
  </si>
  <si>
    <t>SEMIFINAL</t>
  </si>
  <si>
    <t>FINAL</t>
  </si>
  <si>
    <t>NIP</t>
  </si>
  <si>
    <t>COT</t>
  </si>
  <si>
    <t>DEU</t>
  </si>
  <si>
    <t>CON</t>
  </si>
  <si>
    <t>SWI</t>
  </si>
  <si>
    <t>B&amp;H</t>
  </si>
  <si>
    <t>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</si>
</sst>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charset val="1"/>
    </font>
    <font>
      <b/>
      <sz val="11"/>
      <color theme="1"/>
      <name val="Aptos Narrow"/>
      <family val="2"/>
      <scheme val="minor"/>
    </font>
    <font>
      <sz val="11"/>
      <color rgb="FF9C0006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3" borderId="0" applyNumberFormat="0" applyBorder="0" applyAlignment="0" applyProtection="0"/>
    <xf numFmtId="0" fontId="1" fillId="4" borderId="0" applyNumberFormat="0" applyBorder="0" applyAlignment="0" applyProtection="0"/>
  </cellStyleXfs>
  <cellXfs count="24">
    <xf numFmtId="0" fontId="0" fillId="0" borderId="0" xfId="0"/>
    <xf numFmtId="10" fontId="0" fillId="0" borderId="0" xfId="1" applyNumberFormat="1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0" fontId="0" fillId="0" borderId="1" xfId="0" applyBorder="1"/>
    <xf numFmtId="10" fontId="0" fillId="0" borderId="2" xfId="1" applyNumberFormat="1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10" fontId="0" fillId="0" borderId="0" xfId="1" applyNumberFormat="1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4" borderId="0" xfId="3"/>
    <xf numFmtId="10" fontId="1" fillId="4" borderId="0" xfId="1" applyNumberFormat="1" applyFill="1"/>
    <xf numFmtId="10" fontId="4" fillId="3" borderId="0" xfId="2" applyNumberFormat="1" applyBorder="1"/>
    <xf numFmtId="10" fontId="4" fillId="3" borderId="0" xfId="2" applyNumberFormat="1"/>
    <xf numFmtId="0" fontId="4" fillId="3" borderId="0" xfId="2"/>
  </cellXfs>
  <cellStyles count="4">
    <cellStyle name="20% - Énfasis1" xfId="3" builtinId="30"/>
    <cellStyle name="Incorrecto" xfId="2" builtinId="27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E6786-5D55-4B42-97FA-7180BAC2C410}">
  <dimension ref="A1:F17"/>
  <sheetViews>
    <sheetView workbookViewId="0">
      <selection activeCell="F2" sqref="F2"/>
    </sheetView>
  </sheetViews>
  <sheetFormatPr baseColWidth="10" defaultColWidth="11.375" defaultRowHeight="14.25"/>
  <cols>
    <col min="2" max="2" width="5" bestFit="1" customWidth="1"/>
    <col min="3" max="4" width="7" bestFit="1" customWidth="1"/>
    <col min="5" max="5" width="9.25" bestFit="1" customWidth="1"/>
    <col min="6" max="6" width="7" bestFit="1" customWidth="1"/>
  </cols>
  <sheetData>
    <row r="1" spans="1:6">
      <c r="A1" s="2" t="s">
        <v>0</v>
      </c>
      <c r="C1">
        <v>0</v>
      </c>
      <c r="D1">
        <v>1</v>
      </c>
      <c r="E1">
        <v>2</v>
      </c>
      <c r="F1">
        <v>3</v>
      </c>
    </row>
    <row r="2" spans="1:6">
      <c r="A2" t="s">
        <v>1</v>
      </c>
      <c r="B2" t="s">
        <v>2</v>
      </c>
      <c r="C2" s="4">
        <v>1858</v>
      </c>
      <c r="D2" s="3">
        <f>C2+60*+IF(ABS(D8)&lt;=1,1,IF(ABS(D8)=2,1.5,(11+ABS(D8))/8))*(IF(D8&gt;0,1,IF(D8=0,0.5,0))-D14)</f>
        <v>1869.7135045833122</v>
      </c>
      <c r="E2">
        <f>D2+60*+IF(ABS(E8)&lt;=1,1,IF(ABS(E8)=2,1.5,(11+ABS(E8))/8))*(IF(E8&gt;0,1,IF(E8=0,0.5,0))-E14)</f>
        <v>1892.6582714349829</v>
      </c>
      <c r="F2">
        <f>E2+60*+IF(ABS(F8)&lt;=1,1,IF(ABS(F8)=2,1.5,(11+ABS(F8))/8))*(IF(F8&gt;0,1,IF(F8=0,0.5,0))-F14)</f>
        <v>1918.2853067037456</v>
      </c>
    </row>
    <row r="3" spans="1:6">
      <c r="B3" t="s">
        <v>3</v>
      </c>
      <c r="C3">
        <v>1528</v>
      </c>
      <c r="D3" s="3">
        <f>C3+60*+IF(ABS(C9)&lt;=1,1,IF(ABS(C9)=2,1.5,(11+ABS(C9))/8))*(IF(C9&gt;0,1,IF(C9=0,0.5,0))-C15)</f>
        <v>1516.2864954166878</v>
      </c>
      <c r="E3">
        <f>D3+60*+IF(ABS(F9)&lt;=1,1,IF(ABS(F9)=2,1.5,(11+ABS(F9))/8))*(IF(F9&gt;0,1,IF(F9=0,0.5,0))-F15)</f>
        <v>1531.5707741340882</v>
      </c>
      <c r="F3">
        <f>E3+60*+IF(ABS(E9)&lt;=1,1,IF(ABS(E9)=2,1.5,(11+ABS(E9))/8))*(IF(E9&gt;0,1,IF(E9=0,0.5,0))-E15)</f>
        <v>1579.0718088439971</v>
      </c>
    </row>
    <row r="4" spans="1:6">
      <c r="B4" t="s">
        <v>4</v>
      </c>
      <c r="C4">
        <v>1758</v>
      </c>
      <c r="D4" s="3">
        <f>C4+60*+IF(ABS(F10)&lt;=1,1,IF(ABS(F10)=2,1.5,(11+ABS(F10))/8))*(IF(F10&gt;0,1,IF(F10=0,0.5,0))-F16)</f>
        <v>1786.4471441465298</v>
      </c>
      <c r="E4">
        <f>D4+60*+IF(ABS(C10)&lt;=1,1,IF(ABS(C10)=2,1.5,(11+ABS(C10))/8))*(IF(C10&gt;0,1,IF(C10=0,0.5,0))-C16)</f>
        <v>1763.5023772948591</v>
      </c>
      <c r="F4">
        <f>E4+60*+IF(ABS(D10)&lt;=1,1,IF(ABS(D10)=2,1.5,(11+ABS(D10))/8))*(IF(D10&gt;0,1,IF(D10=0,0.5,0))-D16)</f>
        <v>1716.00134258495</v>
      </c>
    </row>
    <row r="5" spans="1:6">
      <c r="B5" t="s">
        <v>5</v>
      </c>
      <c r="C5">
        <v>1740</v>
      </c>
      <c r="D5" s="3">
        <f>C5+60*+IF(ABS(E11)&lt;=1,1,IF(ABS(E11)=2,1.5,(11+ABS(E11))/8))*(IF(E11&gt;0,1,IF(E11=0,0.5,0))-E17)</f>
        <v>1711.5528558534702</v>
      </c>
      <c r="E5">
        <f>D5+60*+IF(ABS(D11)&lt;=1,1,IF(ABS(D11)=2,1.5,(11+ABS(D11))/8))*(IF(D11&gt;0,1,IF(D11=0,0.5,0))-D17)</f>
        <v>1696.2685771360698</v>
      </c>
      <c r="F5">
        <f>E5+60*+IF(ABS(C11)&lt;=1,1,IF(ABS(C11)=2,1.5,(11+ABS(C11))/8))*(IF(C11&gt;0,1,IF(C11=0,0.5,0))-C17)</f>
        <v>1670.6415418673071</v>
      </c>
    </row>
    <row r="7" spans="1:6">
      <c r="C7" t="s">
        <v>2</v>
      </c>
      <c r="D7" t="s">
        <v>3</v>
      </c>
      <c r="E7" t="s">
        <v>4</v>
      </c>
      <c r="F7" t="s">
        <v>5</v>
      </c>
    </row>
    <row r="8" spans="1:6">
      <c r="A8" t="s">
        <v>6</v>
      </c>
      <c r="B8" t="s">
        <v>2</v>
      </c>
      <c r="C8" t="s">
        <v>7</v>
      </c>
      <c r="D8">
        <v>2</v>
      </c>
      <c r="E8">
        <v>1</v>
      </c>
      <c r="F8">
        <v>3</v>
      </c>
    </row>
    <row r="9" spans="1:6">
      <c r="B9" t="s">
        <v>3</v>
      </c>
      <c r="C9">
        <f>-D8</f>
        <v>-2</v>
      </c>
      <c r="D9" t="s">
        <v>7</v>
      </c>
      <c r="E9">
        <v>1</v>
      </c>
      <c r="F9">
        <v>0</v>
      </c>
    </row>
    <row r="10" spans="1:6">
      <c r="B10" t="s">
        <v>4</v>
      </c>
      <c r="C10">
        <v>-1</v>
      </c>
      <c r="D10">
        <v>-1</v>
      </c>
      <c r="E10" t="s">
        <v>7</v>
      </c>
      <c r="F10">
        <v>1</v>
      </c>
    </row>
    <row r="11" spans="1:6">
      <c r="B11" t="s">
        <v>5</v>
      </c>
      <c r="C11">
        <v>-3</v>
      </c>
      <c r="D11">
        <v>0</v>
      </c>
      <c r="E11">
        <v>-1</v>
      </c>
      <c r="F11" t="s">
        <v>7</v>
      </c>
    </row>
    <row r="13" spans="1:6">
      <c r="C13" t="s">
        <v>2</v>
      </c>
      <c r="D13" t="s">
        <v>3</v>
      </c>
      <c r="E13" t="s">
        <v>4</v>
      </c>
      <c r="F13" t="s">
        <v>5</v>
      </c>
    </row>
    <row r="14" spans="1:6">
      <c r="A14" t="s">
        <v>8</v>
      </c>
      <c r="B14" t="s">
        <v>2</v>
      </c>
      <c r="C14" s="1" t="s">
        <v>7</v>
      </c>
      <c r="D14" s="1">
        <f>(1+10^((C3-C2)/400))^-1</f>
        <v>0.86984994907430913</v>
      </c>
      <c r="E14" s="1">
        <f>(1+10^((D4-D2)/400))^-1</f>
        <v>0.61758721913882131</v>
      </c>
      <c r="F14" s="1">
        <f>(1+10^((E5-E2)/400))^-1</f>
        <v>0.75593299744035447</v>
      </c>
    </row>
    <row r="15" spans="1:6">
      <c r="B15" t="s">
        <v>3</v>
      </c>
      <c r="C15" s="1">
        <f>(1+10^((C2-C3)/400))^-1</f>
        <v>0.13015005092569085</v>
      </c>
      <c r="D15" s="1" t="s">
        <v>7</v>
      </c>
      <c r="E15" s="1">
        <f>(1+10^((E4-E3)/400))^-1</f>
        <v>0.20831608816818245</v>
      </c>
      <c r="F15" s="1">
        <f>(1+10^((D5-D3)/400))^-1</f>
        <v>0.24526202137665817</v>
      </c>
    </row>
    <row r="16" spans="1:6">
      <c r="B16" t="s">
        <v>4</v>
      </c>
      <c r="C16" s="1">
        <f>(1+10^((D2-D4)/400))^-1</f>
        <v>0.38241278086117858</v>
      </c>
      <c r="D16" s="1">
        <f>(1+10^((E3-E4)/400))^-1</f>
        <v>0.79168391183181763</v>
      </c>
      <c r="E16" s="1" t="s">
        <v>7</v>
      </c>
      <c r="F16" s="1">
        <f>(1+10^((C5-C4)/400))^-1</f>
        <v>0.52588093089116905</v>
      </c>
    </row>
    <row r="17" spans="2:6">
      <c r="B17" t="s">
        <v>5</v>
      </c>
      <c r="C17" s="1">
        <f>(1+10^((E2-E5)/400))^-1</f>
        <v>0.24406700255964542</v>
      </c>
      <c r="D17" s="1">
        <f>(1+10^((D3-D5)/400))^-1</f>
        <v>0.7547379786233418</v>
      </c>
      <c r="E17" s="1">
        <f>(1+10^((C4-C5)/400))^-1</f>
        <v>0.47411906910883089</v>
      </c>
      <c r="F17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FCC00C-AE33-4496-BA5F-4C0D349D42AC}">
  <dimension ref="A1:F17"/>
  <sheetViews>
    <sheetView workbookViewId="0">
      <selection activeCell="D11" sqref="D11"/>
    </sheetView>
  </sheetViews>
  <sheetFormatPr baseColWidth="10" defaultColWidth="11.375" defaultRowHeight="14.25"/>
  <cols>
    <col min="2" max="2" width="5" bestFit="1" customWidth="1"/>
    <col min="3" max="4" width="7" bestFit="1" customWidth="1"/>
    <col min="5" max="5" width="9.25" bestFit="1" customWidth="1"/>
    <col min="6" max="6" width="7" bestFit="1" customWidth="1"/>
  </cols>
  <sheetData>
    <row r="1" spans="1:6">
      <c r="A1" s="2" t="s">
        <v>0</v>
      </c>
      <c r="C1">
        <v>0</v>
      </c>
      <c r="D1">
        <v>1</v>
      </c>
      <c r="E1">
        <v>2</v>
      </c>
      <c r="F1">
        <v>3</v>
      </c>
    </row>
    <row r="2" spans="1:6">
      <c r="A2" t="s">
        <v>1</v>
      </c>
      <c r="B2" t="s">
        <v>9</v>
      </c>
      <c r="C2">
        <v>1788</v>
      </c>
      <c r="D2" s="3">
        <f>C2+60*+IF(ABS(D8)&lt;=1,1,IF(ABS(D8)=2,1.5,(11+ABS(D8))/8))*(IF(D8&gt;0,1,IF(D8=0,0.5,0))-D14)</f>
        <v>1772.861100383659</v>
      </c>
      <c r="E2">
        <f>D2+60*+IF(ABS(E8)&lt;=1,1,IF(ABS(E8)=2,1.5,(11+ABS(E8))/8))*(IF(E8&gt;0,1,IF(E8=0,0.5,0))-E14)</f>
        <v>1789.8225817798009</v>
      </c>
      <c r="F2">
        <f>E2+60*+IF(ABS(F8)&lt;=1,1,IF(ABS(F8)=2,1.5,(11+ABS(F8))/8))*(IF(F8&gt;0,1,IF(F8=0,0.5,0))-F14)</f>
        <v>1756.7852075226247</v>
      </c>
    </row>
    <row r="3" spans="1:6">
      <c r="B3" t="s">
        <v>10</v>
      </c>
      <c r="C3">
        <v>1595</v>
      </c>
      <c r="D3" s="3">
        <f>C3+60*+IF(ABS(C9)&lt;=1,1,IF(ABS(C9)=2,1.5,(11+ABS(C9))/8))*(IF(C9&gt;0,1,IF(C9=0,0.5,0))-C15)</f>
        <v>1610.138899616341</v>
      </c>
      <c r="E3">
        <f>D3+60*+IF(ABS(F9)&lt;=1,1,IF(ABS(F9)=2,1.5,(11+ABS(F9))/8))*(IF(F9&gt;0,1,IF(F9=0,0.5,0))-F15)</f>
        <v>1590.4413704854392</v>
      </c>
      <c r="F3">
        <f>E3+60*+IF(ABS(E9)&lt;=1,1,IF(ABS(E9)=2,1.5,(11+ABS(E9))/8))*(IF(E9&gt;0,1,IF(E9=0,0.5,0))-E15)</f>
        <v>1616.051564902177</v>
      </c>
    </row>
    <row r="4" spans="1:6">
      <c r="B4" t="s">
        <v>11</v>
      </c>
      <c r="C4">
        <v>1421</v>
      </c>
      <c r="D4" s="3">
        <f>C4+60*+IF(ABS(F10)&lt;=1,1,IF(ABS(F10)=2,1.5,(11+ABS(F10))/8))*(IF(F10&gt;0,1,IF(F10=0,0.5,0))-F16)</f>
        <v>1447.2411565127668</v>
      </c>
      <c r="E4">
        <f>D4+60*+IF(ABS(C10)&lt;=1,1,IF(ABS(C10)=2,1.5,(11+ABS(C10))/8))*(IF(C10&gt;0,1,IF(C10=0,0.5,0))-C16)</f>
        <v>1430.279675116625</v>
      </c>
      <c r="F4">
        <f>E4+60*+IF(ABS(D10)&lt;=1,1,IF(ABS(D10)=2,1.5,(11+ABS(D10))/8))*(IF(D10&gt;0,1,IF(D10=0,0.5,0))-D16)</f>
        <v>1404.6694806998871</v>
      </c>
    </row>
    <row r="5" spans="1:6">
      <c r="B5" t="s">
        <v>12</v>
      </c>
      <c r="C5">
        <v>1891</v>
      </c>
      <c r="D5" s="3">
        <f>C5+60*+IF(ABS(E11)&lt;=1,1,IF(ABS(E11)=2,1.5,(11+ABS(E11))/8))*(IF(E11&gt;0,1,IF(E11=0,0.5,0))-E17)</f>
        <v>1864.7588434872332</v>
      </c>
      <c r="E5">
        <f>D5+60*+IF(ABS(D11)&lt;=1,1,IF(ABS(D11)=2,1.5,(11+ABS(D11))/8))*(IF(D11&gt;0,1,IF(D11=0,0.5,0))-D17)</f>
        <v>1884.456372618135</v>
      </c>
      <c r="F5">
        <f>E5+60*+IF(ABS(C11)&lt;=1,1,IF(ABS(C11)=2,1.5,(11+ABS(C11))/8))*(IF(C11&gt;0,1,IF(C11=0,0.5,0))-C17)</f>
        <v>1917.4937468753112</v>
      </c>
    </row>
    <row r="7" spans="1:6">
      <c r="C7" t="s">
        <v>9</v>
      </c>
      <c r="D7" t="s">
        <v>10</v>
      </c>
      <c r="E7" t="s">
        <v>11</v>
      </c>
      <c r="F7" t="s">
        <v>12</v>
      </c>
    </row>
    <row r="8" spans="1:6">
      <c r="A8" t="s">
        <v>6</v>
      </c>
      <c r="B8" t="s">
        <v>9</v>
      </c>
      <c r="C8" t="s">
        <v>7</v>
      </c>
      <c r="D8">
        <v>0</v>
      </c>
      <c r="E8">
        <f>6-0</f>
        <v>6</v>
      </c>
      <c r="F8">
        <v>-2</v>
      </c>
    </row>
    <row r="9" spans="1:6">
      <c r="B9" t="s">
        <v>10</v>
      </c>
      <c r="C9">
        <v>0</v>
      </c>
      <c r="D9" t="s">
        <v>7</v>
      </c>
      <c r="E9">
        <v>2</v>
      </c>
      <c r="F9">
        <f>1-4</f>
        <v>-3</v>
      </c>
    </row>
    <row r="10" spans="1:6">
      <c r="B10" t="s">
        <v>11</v>
      </c>
      <c r="C10">
        <v>-6</v>
      </c>
      <c r="D10">
        <v>-2</v>
      </c>
      <c r="E10" t="s">
        <v>7</v>
      </c>
      <c r="F10">
        <v>0</v>
      </c>
    </row>
    <row r="11" spans="1:6">
      <c r="B11" t="s">
        <v>12</v>
      </c>
      <c r="C11">
        <v>2</v>
      </c>
      <c r="D11">
        <f>4-1</f>
        <v>3</v>
      </c>
      <c r="E11">
        <v>0</v>
      </c>
      <c r="F11" t="s">
        <v>7</v>
      </c>
    </row>
    <row r="13" spans="1:6">
      <c r="C13" t="s">
        <v>9</v>
      </c>
      <c r="D13" t="s">
        <v>10</v>
      </c>
      <c r="E13" t="s">
        <v>11</v>
      </c>
      <c r="F13" t="s">
        <v>12</v>
      </c>
    </row>
    <row r="14" spans="1:6">
      <c r="A14" t="s">
        <v>8</v>
      </c>
      <c r="B14" t="s">
        <v>9</v>
      </c>
      <c r="C14" s="1" t="s">
        <v>7</v>
      </c>
      <c r="D14" s="1">
        <f>(1+10^((C3-C2)/400))^-1</f>
        <v>0.75231499360568233</v>
      </c>
      <c r="E14" s="1">
        <f>(1+10^((D4-D2)/400))^-1</f>
        <v>0.86696877336359301</v>
      </c>
      <c r="F14" s="1">
        <f>(1+10^((E5-E2)/400))^-1</f>
        <v>0.36708193619084656</v>
      </c>
    </row>
    <row r="15" spans="1:6">
      <c r="B15" t="s">
        <v>10</v>
      </c>
      <c r="C15" s="1">
        <f>(1+10^((C2-C3)/400))^-1</f>
        <v>0.24768500639431756</v>
      </c>
      <c r="D15" s="1" t="s">
        <v>7</v>
      </c>
      <c r="E15" s="1">
        <f>(1+10^((E4-E3)/400))^-1</f>
        <v>0.71544228425846923</v>
      </c>
      <c r="F15" s="1">
        <f>(1+10^((D5-D3)/400))^-1</f>
        <v>0.18759551553239726</v>
      </c>
    </row>
    <row r="16" spans="1:6">
      <c r="B16" t="s">
        <v>11</v>
      </c>
      <c r="C16" s="1">
        <f>(1+10^((D2-D4)/400))^-1</f>
        <v>0.13303122663640704</v>
      </c>
      <c r="D16" s="1">
        <f>(1+10^((E3-E4)/400))^-1</f>
        <v>0.28455771574153071</v>
      </c>
      <c r="E16" s="1" t="s">
        <v>7</v>
      </c>
      <c r="F16" s="1">
        <f>(1+10^((C5-C4)/400))^-1</f>
        <v>6.2647391453886911E-2</v>
      </c>
    </row>
    <row r="17" spans="2:6">
      <c r="B17" t="s">
        <v>12</v>
      </c>
      <c r="C17" s="1">
        <f>(1+10^((E2-E5)/400))^-1</f>
        <v>0.63291806380915339</v>
      </c>
      <c r="D17" s="1">
        <f>(1+10^((D3-D5)/400))^-1</f>
        <v>0.81240448446760283</v>
      </c>
      <c r="E17" s="1">
        <f>(1+10^((C4-C5)/400))^-1</f>
        <v>0.93735260854611313</v>
      </c>
      <c r="F17" s="1" t="s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42C74-E5D8-4B53-AA34-90DB8A5958B4}">
  <dimension ref="A1:F17"/>
  <sheetViews>
    <sheetView workbookViewId="0">
      <selection activeCell="C12" sqref="C12"/>
    </sheetView>
  </sheetViews>
  <sheetFormatPr baseColWidth="10" defaultColWidth="11.375" defaultRowHeight="14.25"/>
  <cols>
    <col min="2" max="2" width="5" bestFit="1" customWidth="1"/>
    <col min="3" max="4" width="7" bestFit="1" customWidth="1"/>
    <col min="5" max="5" width="9.25" bestFit="1" customWidth="1"/>
    <col min="6" max="6" width="7" bestFit="1" customWidth="1"/>
  </cols>
  <sheetData>
    <row r="1" spans="1:6">
      <c r="A1" s="2" t="s">
        <v>0</v>
      </c>
      <c r="C1">
        <v>0</v>
      </c>
      <c r="D1">
        <v>1</v>
      </c>
      <c r="E1">
        <v>2</v>
      </c>
      <c r="F1">
        <v>3</v>
      </c>
    </row>
    <row r="2" spans="1:6">
      <c r="A2" t="s">
        <v>1</v>
      </c>
      <c r="B2" t="s">
        <v>13</v>
      </c>
      <c r="C2">
        <v>1991</v>
      </c>
      <c r="D2" s="3">
        <f>C2+60*+IF(ABS(D8)&lt;=1,1,IF(ABS(D8)=2,1.5,(11+ABS(D8))/8))*(IF(D8&gt;0,1,IF(D8=0,0.5,0))-D14)</f>
        <v>1977.8048596431709</v>
      </c>
      <c r="E2">
        <f>D2+60*+IF(ABS(E8)&lt;=1,1,IF(ABS(E8)=2,1.5,(11+ABS(E8))/8))*(IF(E8&gt;0,1,IF(E8=0,0.5,0))-E14)</f>
        <v>1985.4419431116444</v>
      </c>
      <c r="F2">
        <f>E2+60*+IF(ABS(F8)&lt;=1,1,IF(ABS(F8)=2,1.5,(11+ABS(F8))/8))*(IF(F8&gt;0,1,IF(F8=0,0.5,0))-F14)</f>
        <v>2008.8275447825429</v>
      </c>
    </row>
    <row r="3" spans="1:6">
      <c r="B3" t="s">
        <v>14</v>
      </c>
      <c r="C3">
        <v>1827</v>
      </c>
      <c r="D3" s="3">
        <f>C3+60*+IF(ABS(C9)&lt;=1,1,IF(ABS(C9)=2,1.5,(11+ABS(C9))/8))*(IF(C9&gt;0,1,IF(C9=0,0.5,0))-C15)</f>
        <v>1840.1951403568291</v>
      </c>
      <c r="E3">
        <f>D3+60*+IF(ABS(F9)&lt;=1,1,IF(ABS(F9)=2,1.5,(11+ABS(F9))/8))*(IF(F9&gt;0,1,IF(F9=0,0.5,0))-F15)</f>
        <v>1866.2620467630672</v>
      </c>
      <c r="F3">
        <f>E3+60*+IF(ABS(E9)&lt;=1,1,IF(ABS(E9)=2,1.5,(11+ABS(E9))/8))*(IF(E9&gt;0,1,IF(E9=0,0.5,0))-E15)</f>
        <v>1877.4983709735191</v>
      </c>
    </row>
    <row r="4" spans="1:6">
      <c r="B4" t="s">
        <v>15</v>
      </c>
      <c r="C4">
        <v>1548</v>
      </c>
      <c r="D4" s="3">
        <f>C4+60*+IF(ABS(F10)&lt;=1,1,IF(ABS(F10)=2,1.5,(11+ABS(F10))/8))*(IF(F10&gt;0,1,IF(F10=0,0.5,0))-F16)</f>
        <v>1535.6184445912902</v>
      </c>
      <c r="E4">
        <f>D4+60*+IF(ABS(C10)&lt;=1,1,IF(ABS(C10)=2,1.5,(11+ABS(C10))/8))*(IF(C10&gt;0,1,IF(C10=0,0.5,0))-C16)</f>
        <v>1527.9813611228167</v>
      </c>
      <c r="F4">
        <f>E4+60*+IF(ABS(D10)&lt;=1,1,IF(ABS(D10)=2,1.5,(11+ABS(D10))/8))*(IF(D10&gt;0,1,IF(D10=0,0.5,0))-D16)</f>
        <v>1516.7450369123649</v>
      </c>
    </row>
    <row r="5" spans="1:6">
      <c r="B5" t="s">
        <v>16</v>
      </c>
      <c r="C5">
        <v>1782</v>
      </c>
      <c r="D5" s="3">
        <f>C5+60*+IF(ABS(E11)&lt;=1,1,IF(ABS(E11)=2,1.5,(11+ABS(E11))/8))*(IF(E11&gt;0,1,IF(E11=0,0.5,0))-E17)</f>
        <v>1794.3815554087098</v>
      </c>
      <c r="E5">
        <f>D5+60*+IF(ABS(D11)&lt;=1,1,IF(ABS(D11)=2,1.5,(11+ABS(D11))/8))*(IF(D11&gt;0,1,IF(D11=0,0.5,0))-D17)</f>
        <v>1768.3146490024717</v>
      </c>
      <c r="F5">
        <f>E5+60*+IF(ABS(C11)&lt;=1,1,IF(ABS(C11)=2,1.5,(11+ABS(C11))/8))*(IF(C11&gt;0,1,IF(C11=0,0.5,0))-C17)</f>
        <v>1744.9290473315732</v>
      </c>
    </row>
    <row r="7" spans="1:6">
      <c r="C7" t="s">
        <v>13</v>
      </c>
      <c r="D7" t="s">
        <v>14</v>
      </c>
      <c r="E7" t="s">
        <v>15</v>
      </c>
      <c r="F7" t="s">
        <v>16</v>
      </c>
    </row>
    <row r="8" spans="1:6">
      <c r="A8" t="s">
        <v>6</v>
      </c>
      <c r="B8" t="s">
        <v>13</v>
      </c>
      <c r="C8" t="s">
        <v>7</v>
      </c>
      <c r="D8">
        <v>0</v>
      </c>
      <c r="E8">
        <v>3</v>
      </c>
      <c r="F8">
        <v>3</v>
      </c>
    </row>
    <row r="9" spans="1:6">
      <c r="B9" t="s">
        <v>14</v>
      </c>
      <c r="C9">
        <v>0</v>
      </c>
      <c r="D9" t="s">
        <v>7</v>
      </c>
      <c r="E9">
        <v>2</v>
      </c>
      <c r="F9">
        <v>1</v>
      </c>
    </row>
    <row r="10" spans="1:6">
      <c r="B10" t="s">
        <v>15</v>
      </c>
      <c r="C10">
        <v>-3</v>
      </c>
      <c r="D10">
        <v>-2</v>
      </c>
      <c r="E10" t="s">
        <v>7</v>
      </c>
      <c r="F10">
        <v>-1</v>
      </c>
    </row>
    <row r="11" spans="1:6">
      <c r="B11" t="s">
        <v>16</v>
      </c>
      <c r="C11">
        <v>-3</v>
      </c>
      <c r="D11">
        <v>-1</v>
      </c>
      <c r="E11">
        <v>1</v>
      </c>
      <c r="F11" t="s">
        <v>7</v>
      </c>
    </row>
    <row r="13" spans="1:6">
      <c r="C13" t="s">
        <v>13</v>
      </c>
      <c r="D13" t="s">
        <v>14</v>
      </c>
      <c r="E13" t="s">
        <v>15</v>
      </c>
      <c r="F13" t="s">
        <v>16</v>
      </c>
    </row>
    <row r="14" spans="1:6">
      <c r="A14" t="s">
        <v>8</v>
      </c>
      <c r="B14" t="s">
        <v>13</v>
      </c>
      <c r="C14" s="1" t="s">
        <v>7</v>
      </c>
      <c r="D14" s="1">
        <f>(1+10^((C3-C2)/400))^-1</f>
        <v>0.71991900594715197</v>
      </c>
      <c r="E14" s="1">
        <f>(1+10^((D4-D2)/400))^-1</f>
        <v>0.92726587172882313</v>
      </c>
      <c r="F14" s="1">
        <f>(1+10^((E5-E2)/400))^-1</f>
        <v>0.77727998408668175</v>
      </c>
    </row>
    <row r="15" spans="1:6">
      <c r="B15" t="s">
        <v>14</v>
      </c>
      <c r="C15" s="1">
        <f>(1+10^((C2-C3)/400))^-1</f>
        <v>0.28008099405284809</v>
      </c>
      <c r="D15" s="1" t="s">
        <v>7</v>
      </c>
      <c r="E15" s="1">
        <f>(1+10^((E4-E3)/400))^-1</f>
        <v>0.87515195321720329</v>
      </c>
      <c r="F15" s="1">
        <f>(1+10^((D5-D3)/400))^-1</f>
        <v>0.56555155989603079</v>
      </c>
    </row>
    <row r="16" spans="1:6">
      <c r="B16" t="s">
        <v>15</v>
      </c>
      <c r="C16" s="1">
        <f>(1+10^((D2-D4)/400))^-1</f>
        <v>7.2734128271176951E-2</v>
      </c>
      <c r="D16" s="1">
        <f>(1+10^((E3-E4)/400))^-1</f>
        <v>0.12484804678279669</v>
      </c>
      <c r="E16" s="1" t="s">
        <v>7</v>
      </c>
      <c r="F16" s="1">
        <f>(1+10^((C5-C4)/400))^-1</f>
        <v>0.20635925681183112</v>
      </c>
    </row>
    <row r="17" spans="2:6">
      <c r="B17" t="s">
        <v>16</v>
      </c>
      <c r="C17" s="1">
        <f>(1+10^((E2-E5)/400))^-1</f>
        <v>0.22272001591331822</v>
      </c>
      <c r="D17" s="1">
        <f>(1+10^((D3-D5)/400))^-1</f>
        <v>0.43444844010396932</v>
      </c>
      <c r="E17" s="1">
        <f>(1+10^((C4-C5)/400))^-1</f>
        <v>0.79364074318816891</v>
      </c>
      <c r="F17" s="1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02481-B051-4357-904B-10218DED8637}">
  <dimension ref="A1:F17"/>
  <sheetViews>
    <sheetView workbookViewId="0">
      <selection activeCell="D8" sqref="D8"/>
    </sheetView>
  </sheetViews>
  <sheetFormatPr baseColWidth="10" defaultColWidth="11.375" defaultRowHeight="14.25"/>
  <cols>
    <col min="2" max="2" width="5" bestFit="1" customWidth="1"/>
    <col min="3" max="4" width="7" bestFit="1" customWidth="1"/>
    <col min="5" max="5" width="9.25" bestFit="1" customWidth="1"/>
    <col min="6" max="6" width="7" bestFit="1" customWidth="1"/>
  </cols>
  <sheetData>
    <row r="1" spans="1:6">
      <c r="A1" s="2" t="s">
        <v>0</v>
      </c>
      <c r="C1">
        <v>0</v>
      </c>
      <c r="D1">
        <v>1</v>
      </c>
      <c r="E1">
        <v>2</v>
      </c>
      <c r="F1">
        <v>3</v>
      </c>
    </row>
    <row r="2" spans="1:6">
      <c r="A2" t="s">
        <v>1</v>
      </c>
      <c r="B2" t="s">
        <v>17</v>
      </c>
      <c r="C2">
        <v>1726</v>
      </c>
      <c r="D2" s="3">
        <f>C2+60*+IF(ABS(D8)&lt;=1,1,IF(ABS(D8)=2,1.5,(11+ABS(D8))/8))*(IF(D8&gt;0,1,IF(D8=0,0.5,0))-D14)</f>
        <v>1794.1759694466512</v>
      </c>
      <c r="E2">
        <f>D2+60*+IF(ABS(E8)&lt;=1,1,IF(ABS(E8)=2,1.5,(11+ABS(E8))/8))*(IF(E8&gt;0,1,IF(E8=0,0.5,0))-E14)</f>
        <v>1853.3440091021405</v>
      </c>
      <c r="F2">
        <f>E2+60*+IF(ABS(F8)&lt;=1,1,IF(ABS(F8)=2,1.5,(11+ABS(F8))/8))*(IF(F8&gt;0,1,IF(F8=0,0.5,0))-F14)</f>
        <v>1819.8155247988304</v>
      </c>
    </row>
    <row r="3" spans="1:6">
      <c r="B3" t="s">
        <v>18</v>
      </c>
      <c r="C3">
        <v>1833</v>
      </c>
      <c r="D3" s="3">
        <f>C3+60*+IF(ABS(C9)&lt;=1,1,IF(ABS(C9)=2,1.5,(11+ABS(C9))/8))*(IF(C9&gt;0,1,IF(C9=0,0.5,0))-C15)</f>
        <v>1764.8240305533488</v>
      </c>
      <c r="E3">
        <f>D3+60*+IF(ABS(F9)&lt;=1,1,IF(ABS(F9)=2,1.5,(11+ABS(F9))/8))*(IF(F9&gt;0,1,IF(F9=0,0.5,0))-F15)</f>
        <v>1801.9905981173772</v>
      </c>
      <c r="F3">
        <f>E3+60*+IF(ABS(E9)&lt;=1,1,IF(ABS(E9)=2,1.5,(11+ABS(E9))/8))*(IF(E9&gt;0,1,IF(E9=0,0.5,0))-E15)</f>
        <v>1808.2622092053271</v>
      </c>
    </row>
    <row r="4" spans="1:6">
      <c r="B4" t="s">
        <v>19</v>
      </c>
      <c r="C4">
        <v>1777</v>
      </c>
      <c r="D4" s="3">
        <f>C4+60*+IF(ABS(F10)&lt;=1,1,IF(ABS(F10)=2,1.5,(11+ABS(F10))/8))*(IF(F10&gt;0,1,IF(F10=0,0.5,0))-F16)</f>
        <v>1838.5434682774294</v>
      </c>
      <c r="E4">
        <f>D4+60*+IF(ABS(C10)&lt;=1,1,IF(ABS(C10)=2,1.5,(11+ABS(C10))/8))*(IF(C10&gt;0,1,IF(C10=0,0.5,0))-C16)</f>
        <v>1779.37542862194</v>
      </c>
      <c r="F4">
        <f>E4+60*+IF(ABS(D10)&lt;=1,1,IF(ABS(D10)=2,1.5,(11+ABS(D10))/8))*(IF(D10&gt;0,1,IF(D10=0,0.5,0))-D16)</f>
        <v>1781.3254261056338</v>
      </c>
    </row>
    <row r="5" spans="1:6">
      <c r="B5" t="s">
        <v>20</v>
      </c>
      <c r="C5">
        <v>1911</v>
      </c>
      <c r="D5" s="3">
        <f>C5+60*+IF(ABS(E11)&lt;=1,1,IF(ABS(E11)=2,1.5,(11+ABS(E11))/8))*(IF(E11&gt;0,1,IF(E11=0,0.5,0))-E17)</f>
        <v>1849.4565317225706</v>
      </c>
      <c r="E5">
        <f>D5+60*+IF(ABS(D11)&lt;=1,1,IF(ABS(D11)=2,1.5,(11+ABS(D11))/8))*(IF(D11&gt;0,1,IF(D11=0,0.5,0))-D17)</f>
        <v>1812.2899641585423</v>
      </c>
      <c r="F5">
        <f>E5+60*+IF(ABS(C11)&lt;=1,1,IF(ABS(C11)=2,1.5,(11+ABS(C11))/8))*(IF(C11&gt;0,1,IF(C11=0,0.5,0))-C17)</f>
        <v>1845.8184484618523</v>
      </c>
    </row>
    <row r="7" spans="1:6">
      <c r="C7" t="s">
        <v>17</v>
      </c>
      <c r="D7" t="s">
        <v>18</v>
      </c>
      <c r="E7" t="s">
        <v>19</v>
      </c>
      <c r="F7" t="s">
        <v>20</v>
      </c>
    </row>
    <row r="8" spans="1:6">
      <c r="A8" t="s">
        <v>6</v>
      </c>
      <c r="B8" t="s">
        <v>17</v>
      </c>
      <c r="C8" t="s">
        <v>7</v>
      </c>
      <c r="D8">
        <f>4-1</f>
        <v>3</v>
      </c>
      <c r="E8">
        <v>3</v>
      </c>
      <c r="F8">
        <v>-1</v>
      </c>
    </row>
    <row r="9" spans="1:6">
      <c r="B9" t="s">
        <v>18</v>
      </c>
      <c r="C9">
        <f>-D8</f>
        <v>-3</v>
      </c>
      <c r="D9" t="s">
        <v>7</v>
      </c>
      <c r="E9">
        <v>0</v>
      </c>
      <c r="F9">
        <v>1</v>
      </c>
    </row>
    <row r="10" spans="1:6">
      <c r="B10" t="s">
        <v>19</v>
      </c>
      <c r="C10">
        <v>-3</v>
      </c>
      <c r="D10">
        <v>0</v>
      </c>
      <c r="E10" t="s">
        <v>7</v>
      </c>
      <c r="F10">
        <v>2</v>
      </c>
    </row>
    <row r="11" spans="1:6">
      <c r="B11" t="s">
        <v>20</v>
      </c>
      <c r="C11">
        <v>1</v>
      </c>
      <c r="D11">
        <v>-1</v>
      </c>
      <c r="E11">
        <v>-2</v>
      </c>
      <c r="F11" t="s">
        <v>7</v>
      </c>
    </row>
    <row r="13" spans="1:6">
      <c r="C13" t="s">
        <v>17</v>
      </c>
      <c r="D13" t="s">
        <v>18</v>
      </c>
      <c r="E13" t="s">
        <v>19</v>
      </c>
      <c r="F13" t="s">
        <v>20</v>
      </c>
    </row>
    <row r="14" spans="1:6">
      <c r="A14" t="s">
        <v>8</v>
      </c>
      <c r="B14" t="s">
        <v>17</v>
      </c>
      <c r="C14" s="1" t="s">
        <v>7</v>
      </c>
      <c r="D14" s="1">
        <f>(1+10^((C3-C2)/400))^-1</f>
        <v>0.35070505288903642</v>
      </c>
      <c r="E14" s="1">
        <f>(1+10^((D4-D2)/400))^-1</f>
        <v>0.43649486042391145</v>
      </c>
      <c r="F14" s="1">
        <f>(1+10^((E5-E2)/400))^-1</f>
        <v>0.55880807172183411</v>
      </c>
    </row>
    <row r="15" spans="1:6">
      <c r="B15" t="s">
        <v>18</v>
      </c>
      <c r="C15" s="1">
        <f>(1+10^((C2-C3)/400))^-1</f>
        <v>0.64929494711096358</v>
      </c>
      <c r="D15" s="1" t="s">
        <v>7</v>
      </c>
      <c r="E15" s="1">
        <f>(1+10^((D4-D3)/400))^-1</f>
        <v>0.39547314853417093</v>
      </c>
      <c r="F15" s="1">
        <f>(1+10^((D5-D3)/400))^-1</f>
        <v>0.3805572072661938</v>
      </c>
    </row>
    <row r="16" spans="1:6">
      <c r="B16" t="s">
        <v>19</v>
      </c>
      <c r="C16" s="1">
        <f>(1+10^((D2-D4)/400))^-1</f>
        <v>0.5635051395760885</v>
      </c>
      <c r="D16" s="1">
        <f>(1+10^((E3-E4)/400))^-1</f>
        <v>0.46750004193843864</v>
      </c>
      <c r="E16" s="1" t="s">
        <v>7</v>
      </c>
      <c r="F16" s="1">
        <f>(1+10^((C5-C4)/400))^-1</f>
        <v>0.31618368580634137</v>
      </c>
    </row>
    <row r="17" spans="2:6">
      <c r="B17" t="s">
        <v>20</v>
      </c>
      <c r="C17" s="1">
        <f>(1+10^((E2-E5)/400))^-1</f>
        <v>0.44119192827816583</v>
      </c>
      <c r="D17" s="1">
        <f>(1+10^((D3-D5)/400))^-1</f>
        <v>0.6194427927338062</v>
      </c>
      <c r="E17" s="1">
        <f>(1+10^((C4-C5)/400))^-1</f>
        <v>0.68381631419365863</v>
      </c>
      <c r="F17" s="1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0B7F0-D065-4F2F-8D10-D87CD8F81B4D}">
  <dimension ref="A1:F17"/>
  <sheetViews>
    <sheetView workbookViewId="0">
      <selection activeCell="F5" sqref="F5"/>
    </sheetView>
  </sheetViews>
  <sheetFormatPr baseColWidth="10" defaultColWidth="11.375" defaultRowHeight="14.25"/>
  <cols>
    <col min="2" max="2" width="5" bestFit="1" customWidth="1"/>
    <col min="3" max="4" width="7" bestFit="1" customWidth="1"/>
    <col min="5" max="5" width="9.25" bestFit="1" customWidth="1"/>
    <col min="6" max="6" width="7" bestFit="1" customWidth="1"/>
  </cols>
  <sheetData>
    <row r="1" spans="1:6">
      <c r="A1" s="2" t="s">
        <v>0</v>
      </c>
      <c r="C1">
        <v>0</v>
      </c>
      <c r="D1">
        <v>1</v>
      </c>
      <c r="E1">
        <v>2</v>
      </c>
      <c r="F1">
        <v>3</v>
      </c>
    </row>
    <row r="2" spans="1:6">
      <c r="A2" t="s">
        <v>1</v>
      </c>
      <c r="B2" t="s">
        <v>21</v>
      </c>
      <c r="C2">
        <v>1932</v>
      </c>
      <c r="D2" s="3">
        <f>C2+60*+IF(ABS(D8)&lt;=1,1,IF(ABS(D8)=2,1.5,(11+ABS(D8))/8))*(IF(D8&gt;0,1,IF(D8=0,0.5,0))-D14)</f>
        <v>1938.8624995689859</v>
      </c>
      <c r="E2">
        <f>D2+60*+IF(ABS(E8)&lt;=1,1,IF(ABS(E8)=2,1.5,(11+ABS(E8))/8))*(IF(E8&gt;0,1,IF(E8=0,0.5,0))-E14)</f>
        <v>1953.5477876649659</v>
      </c>
      <c r="F2">
        <f>E2+60*+IF(ABS(F8)&lt;=1,1,IF(ABS(F8)=2,1.5,(11+ABS(F8))/8))*(IF(F8&gt;0,1,IF(F8=0,0.5,0))-F14)</f>
        <v>1915.9653331517252</v>
      </c>
    </row>
    <row r="3" spans="1:6">
      <c r="B3" t="s">
        <v>22</v>
      </c>
      <c r="C3">
        <v>1434</v>
      </c>
      <c r="D3" s="3">
        <f>C3+60*+IF(ABS(C9)&lt;=1,1,IF(ABS(C9)=2,1.5,(11+ABS(C9))/8))*(IF(C9&gt;0,1,IF(C9=0,0.5,0))-C15)</f>
        <v>1427.1375004310141</v>
      </c>
      <c r="E3">
        <f>D3+60*+IF(ABS(F9)&lt;=1,1,IF(ABS(F9)=2,1.5,(11+ABS(F9))/8))*(IF(F9&gt;0,1,IF(F9=0,0.5,0))-F15)</f>
        <v>1453.2287464607957</v>
      </c>
      <c r="F3">
        <f>E3+60*+IF(ABS(E9)&lt;=1,1,IF(ABS(E9)=2,1.5,(11+ABS(E9))/8))*(IF(E9&gt;0,1,IF(E9=0,0.5,0))-E15)</f>
        <v>1437.9107621331755</v>
      </c>
    </row>
    <row r="4" spans="1:6">
      <c r="B4" t="s">
        <v>23</v>
      </c>
      <c r="C4">
        <v>1695</v>
      </c>
      <c r="D4" s="3">
        <f>C4+60*+IF(ABS(F10)&lt;=1,1,IF(ABS(F10)=2,1.5,(11+ABS(F10))/8))*(IF(F10&gt;0,1,IF(F10=0,0.5,0))-F16)</f>
        <v>1743.119798646866</v>
      </c>
      <c r="E4">
        <f>D4+60*+IF(ABS(C10)&lt;=1,1,IF(ABS(C10)=2,1.5,(11+ABS(C10))/8))*(IF(C10&gt;0,1,IF(C10=0,0.5,0))-C16)</f>
        <v>1728.434510550886</v>
      </c>
      <c r="F4">
        <f>E4+60*+IF(ABS(D10)&lt;=1,1,IF(ABS(D10)=2,1.5,(11+ABS(D10))/8))*(IF(D10&gt;0,1,IF(D10=0,0.5,0))-D16)</f>
        <v>1743.7524948785062</v>
      </c>
    </row>
    <row r="5" spans="1:6">
      <c r="B5" t="s">
        <v>24</v>
      </c>
      <c r="C5">
        <v>1938</v>
      </c>
      <c r="D5" s="3">
        <f>C5+60*+IF(ABS(E11)&lt;=1,1,IF(ABS(E11)=2,1.5,(11+ABS(E11))/8))*(IF(E11&gt;0,1,IF(E11=0,0.5,0))-E17)</f>
        <v>1889.880201353134</v>
      </c>
      <c r="E5">
        <f>D5+60*+IF(ABS(D11)&lt;=1,1,IF(ABS(D11)=2,1.5,(11+ABS(D11))/8))*(IF(D11&gt;0,1,IF(D11=0,0.5,0))-D17)</f>
        <v>1863.7889553233524</v>
      </c>
      <c r="F5">
        <f>E5+60*+IF(ABS(C11)&lt;=1,1,IF(ABS(C11)=2,1.5,(11+ABS(C11))/8))*(IF(C11&gt;0,1,IF(C11=0,0.5,0))-C17)</f>
        <v>1901.3714098365931</v>
      </c>
    </row>
    <row r="7" spans="1:6">
      <c r="C7" t="s">
        <v>21</v>
      </c>
      <c r="D7" t="s">
        <v>22</v>
      </c>
      <c r="E7" t="s">
        <v>23</v>
      </c>
      <c r="F7" t="s">
        <v>24</v>
      </c>
    </row>
    <row r="8" spans="1:6">
      <c r="A8" t="s">
        <v>6</v>
      </c>
      <c r="B8" t="s">
        <v>21</v>
      </c>
      <c r="C8" t="s">
        <v>7</v>
      </c>
      <c r="D8">
        <f>7-1</f>
        <v>6</v>
      </c>
      <c r="E8">
        <f>2-1</f>
        <v>1</v>
      </c>
      <c r="F8">
        <v>-1</v>
      </c>
    </row>
    <row r="9" spans="1:6">
      <c r="B9" t="s">
        <v>22</v>
      </c>
      <c r="C9">
        <f>-D8</f>
        <v>-6</v>
      </c>
      <c r="D9" t="s">
        <v>7</v>
      </c>
      <c r="E9">
        <v>-2</v>
      </c>
      <c r="F9">
        <v>0</v>
      </c>
    </row>
    <row r="10" spans="1:6">
      <c r="B10" t="s">
        <v>23</v>
      </c>
      <c r="C10">
        <f>1-2</f>
        <v>-1</v>
      </c>
      <c r="D10">
        <v>2</v>
      </c>
      <c r="E10" t="s">
        <v>7</v>
      </c>
      <c r="F10">
        <v>1</v>
      </c>
    </row>
    <row r="11" spans="1:6">
      <c r="B11" t="s">
        <v>24</v>
      </c>
      <c r="C11">
        <v>1</v>
      </c>
      <c r="D11">
        <v>0</v>
      </c>
      <c r="E11">
        <v>-1</v>
      </c>
      <c r="F11" t="s">
        <v>7</v>
      </c>
    </row>
    <row r="13" spans="1:6">
      <c r="C13" t="s">
        <v>21</v>
      </c>
      <c r="D13" t="s">
        <v>22</v>
      </c>
      <c r="E13" t="s">
        <v>23</v>
      </c>
      <c r="F13" t="s">
        <v>24</v>
      </c>
    </row>
    <row r="14" spans="1:6">
      <c r="A14" t="s">
        <v>8</v>
      </c>
      <c r="B14" t="s">
        <v>21</v>
      </c>
      <c r="C14" s="1" t="s">
        <v>7</v>
      </c>
      <c r="D14" s="1">
        <f>(1+10^((C3-C2)/400))^-1</f>
        <v>0.94617647396873905</v>
      </c>
      <c r="E14" s="1">
        <f>(1+10^((D4-D2)/400))^-1</f>
        <v>0.75524519840033366</v>
      </c>
      <c r="F14" s="1">
        <f>(1+10^((E5-E2)/400))^-1</f>
        <v>0.62637424188734447</v>
      </c>
    </row>
    <row r="15" spans="1:6">
      <c r="B15" t="s">
        <v>22</v>
      </c>
      <c r="C15" s="1">
        <f>(1+10^((C2-C3)/400))^-1</f>
        <v>5.3823526031260865E-2</v>
      </c>
      <c r="D15" s="1" t="s">
        <v>7</v>
      </c>
      <c r="E15" s="1">
        <f>(1+10^((E4-E3)/400))^-1</f>
        <v>0.17019982586244806</v>
      </c>
      <c r="F15" s="1">
        <f>(1+10^((D5-D3)/400))^-1</f>
        <v>6.514589950363861E-2</v>
      </c>
    </row>
    <row r="16" spans="1:6">
      <c r="B16" t="s">
        <v>23</v>
      </c>
      <c r="C16" s="1">
        <f>(1+10^((D2-D4)/400))^-1</f>
        <v>0.24475480159966631</v>
      </c>
      <c r="D16" s="1">
        <f>(1+10^((E3-E4)/400))^-1</f>
        <v>0.82980017413755192</v>
      </c>
      <c r="E16" s="1" t="s">
        <v>7</v>
      </c>
      <c r="F16" s="1">
        <f>(1+10^((C5-C4)/400))^-1</f>
        <v>0.19800335588556686</v>
      </c>
    </row>
    <row r="17" spans="2:6">
      <c r="B17" t="s">
        <v>24</v>
      </c>
      <c r="C17" s="1">
        <f>(1+10^((E2-E5)/400))^-1</f>
        <v>0.37362575811265553</v>
      </c>
      <c r="D17" s="1">
        <f>(1+10^((D3-D5)/400))^-1</f>
        <v>0.93485410049636142</v>
      </c>
      <c r="E17" s="1">
        <f>(1+10^((C4-C5)/400))^-1</f>
        <v>0.80199664411443317</v>
      </c>
      <c r="F17" s="1" t="s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C25F3-61D2-4D8F-BCFB-17ED6041E27B}">
  <dimension ref="A1:F17"/>
  <sheetViews>
    <sheetView workbookViewId="0">
      <selection activeCell="F2" sqref="F2"/>
    </sheetView>
  </sheetViews>
  <sheetFormatPr baseColWidth="10" defaultColWidth="11.375" defaultRowHeight="14.25"/>
  <cols>
    <col min="2" max="2" width="5" bestFit="1" customWidth="1"/>
    <col min="3" max="4" width="7" bestFit="1" customWidth="1"/>
    <col min="5" max="5" width="9.25" bestFit="1" customWidth="1"/>
    <col min="6" max="6" width="7" bestFit="1" customWidth="1"/>
  </cols>
  <sheetData>
    <row r="1" spans="1:6">
      <c r="A1" s="2" t="s">
        <v>0</v>
      </c>
      <c r="C1">
        <v>0</v>
      </c>
      <c r="D1">
        <v>1</v>
      </c>
      <c r="E1">
        <v>2</v>
      </c>
      <c r="F1">
        <v>3</v>
      </c>
    </row>
    <row r="2" spans="1:6">
      <c r="A2" t="s">
        <v>1</v>
      </c>
      <c r="B2" t="s">
        <v>25</v>
      </c>
      <c r="C2">
        <v>1944</v>
      </c>
      <c r="D2" s="3">
        <f>C2+60*+IF(ABS(D8)&lt;=1,1,IF(ABS(D8)=2,1.5,(11+ABS(D8))/8))*(IF(D8&gt;0,1,IF(D8=0,0.5,0))-D14)</f>
        <v>1940.7318375586995</v>
      </c>
      <c r="E2">
        <f>D2+60*+IF(ABS(E8)&lt;=1,1,IF(ABS(E8)=2,1.5,(11+ABS(E8))/8))*(IF(E8&gt;0,1,IF(E8=0,0.5,0))-E14)</f>
        <v>1969.4715186143662</v>
      </c>
      <c r="F2">
        <f>E2+60*+IF(ABS(F8)&lt;=1,1,IF(ABS(F8)=2,1.5,(11+ABS(F8))/8))*(IF(F8&gt;0,1,IF(F8=0,0.5,0))-F14)</f>
        <v>1977.6767066879236</v>
      </c>
    </row>
    <row r="3" spans="1:6">
      <c r="B3" t="s">
        <v>26</v>
      </c>
      <c r="C3">
        <v>1906</v>
      </c>
      <c r="D3" s="3">
        <f>C3+60*+IF(ABS(C9)&lt;=1,1,IF(ABS(C9)=2,1.5,(11+ABS(C9))/8))*(IF(C9&gt;0,1,IF(C9=0,0.5,0))-C15)</f>
        <v>1909.2681624413005</v>
      </c>
      <c r="E3">
        <f>D3+60*+IF(ABS(F9)&lt;=1,1,IF(ABS(F9)=2,1.5,(11+ABS(F9))/8))*(IF(F9&gt;0,1,IF(F9=0,0.5,0))-F15)</f>
        <v>1924.3422447857597</v>
      </c>
      <c r="F3">
        <f>E3+60*+IF(ABS(E9)&lt;=1,1,IF(ABS(E9)=2,1.5,(11+ABS(E9))/8))*(IF(E9&gt;0,1,IF(E9=0,0.5,0))-E15)</f>
        <v>1908.8729481555947</v>
      </c>
    </row>
    <row r="4" spans="1:6">
      <c r="B4" t="s">
        <v>27</v>
      </c>
      <c r="C4">
        <v>1712</v>
      </c>
      <c r="D4" s="3">
        <f>C4+60*+IF(ABS(F10)&lt;=1,1,IF(ABS(F10)=2,1.5,(11+ABS(F10))/8))*(IF(F10&gt;0,1,IF(F10=0,0.5,0))-F16)</f>
        <v>1754.9092862649841</v>
      </c>
      <c r="E4">
        <f>D4+60*+IF(ABS(C10)&lt;=1,1,IF(ABS(C10)=2,1.5,(11+ABS(C10))/8))*(IF(C10&gt;0,1,IF(C10=0,0.5,0))-C16)</f>
        <v>1726.1696052093173</v>
      </c>
      <c r="F4">
        <f>E4+60*+IF(ABS(D10)&lt;=1,1,IF(ABS(D10)=2,1.5,(11+ABS(D10))/8))*(IF(D10&gt;0,1,IF(D10=0,0.5,0))-D16)</f>
        <v>1741.6389018394823</v>
      </c>
    </row>
    <row r="5" spans="1:6">
      <c r="B5" t="s">
        <v>28</v>
      </c>
      <c r="C5">
        <v>1628</v>
      </c>
      <c r="D5" s="3">
        <f>C5+60*+IF(ABS(E11)&lt;=1,1,IF(ABS(E11)=2,1.5,(11+ABS(E11))/8))*(IF(E11&gt;0,1,IF(E11=0,0.5,0))-E17)</f>
        <v>1585.0907137350159</v>
      </c>
      <c r="E5">
        <f>D5+60*+IF(ABS(D11)&lt;=1,1,IF(ABS(D11)=2,1.5,(11+ABS(D11))/8))*(IF(D11&gt;0,1,IF(D11=0,0.5,0))-D17)</f>
        <v>1570.0166313905568</v>
      </c>
      <c r="F5">
        <f>E5+60*+IF(ABS(C11)&lt;=1,1,IF(ABS(C11)=2,1.5,(11+ABS(C11))/8))*(IF(C11&gt;0,1,IF(C11=0,0.5,0))-C17)</f>
        <v>1561.8114433169994</v>
      </c>
    </row>
    <row r="7" spans="1:6">
      <c r="C7" t="s">
        <v>25</v>
      </c>
      <c r="D7" t="s">
        <v>26</v>
      </c>
      <c r="E7" t="s">
        <v>27</v>
      </c>
      <c r="F7" t="s">
        <v>28</v>
      </c>
    </row>
    <row r="8" spans="1:6">
      <c r="A8" t="s">
        <v>6</v>
      </c>
      <c r="B8" t="s">
        <v>25</v>
      </c>
      <c r="C8" t="s">
        <v>7</v>
      </c>
      <c r="D8">
        <f>2-2</f>
        <v>0</v>
      </c>
      <c r="E8">
        <f>5-1</f>
        <v>4</v>
      </c>
      <c r="F8">
        <v>2</v>
      </c>
    </row>
    <row r="9" spans="1:6">
      <c r="B9" t="s">
        <v>26</v>
      </c>
      <c r="C9">
        <f>2-2</f>
        <v>0</v>
      </c>
      <c r="D9" t="s">
        <v>7</v>
      </c>
      <c r="E9">
        <v>0</v>
      </c>
      <c r="F9">
        <v>4</v>
      </c>
    </row>
    <row r="10" spans="1:6">
      <c r="B10" t="s">
        <v>27</v>
      </c>
      <c r="C10">
        <f>1-5</f>
        <v>-4</v>
      </c>
      <c r="D10">
        <v>0</v>
      </c>
      <c r="E10" t="s">
        <v>7</v>
      </c>
      <c r="F10">
        <f>5-1</f>
        <v>4</v>
      </c>
    </row>
    <row r="11" spans="1:6">
      <c r="B11" t="s">
        <v>28</v>
      </c>
      <c r="C11">
        <v>-2</v>
      </c>
      <c r="D11">
        <v>-4</v>
      </c>
      <c r="E11">
        <f>-F10</f>
        <v>-4</v>
      </c>
      <c r="F11" t="s">
        <v>7</v>
      </c>
    </row>
    <row r="13" spans="1:6">
      <c r="C13" t="s">
        <v>25</v>
      </c>
      <c r="D13" t="s">
        <v>26</v>
      </c>
      <c r="E13" t="s">
        <v>27</v>
      </c>
      <c r="F13" t="s">
        <v>28</v>
      </c>
    </row>
    <row r="14" spans="1:6">
      <c r="A14" t="s">
        <v>8</v>
      </c>
      <c r="B14" t="s">
        <v>25</v>
      </c>
      <c r="C14" s="1" t="s">
        <v>7</v>
      </c>
      <c r="D14" s="1">
        <f>(1+10^((C3-C2)/400))^-1</f>
        <v>0.55446937402167606</v>
      </c>
      <c r="E14" s="1">
        <f>(1+10^((D4-D2)/400))^-1</f>
        <v>0.74453616839407344</v>
      </c>
      <c r="F14" s="1">
        <f>(1+10^((E5-E2)/400))^-1</f>
        <v>0.90883124362714129</v>
      </c>
    </row>
    <row r="15" spans="1:6">
      <c r="B15" t="s">
        <v>26</v>
      </c>
      <c r="C15" s="1">
        <f>(1+10^((C2-C3)/400))^-1</f>
        <v>0.44553062597832394</v>
      </c>
      <c r="D15" s="1" t="s">
        <v>7</v>
      </c>
      <c r="E15" s="1">
        <f>(1+10^((E4-E3)/400))^-1</f>
        <v>0.75782161050275032</v>
      </c>
      <c r="F15" s="1">
        <f>(1+10^((D5-D3)/400))^-1</f>
        <v>0.86600815693814059</v>
      </c>
    </row>
    <row r="16" spans="1:6">
      <c r="B16" t="s">
        <v>27</v>
      </c>
      <c r="C16" s="1">
        <f>(1+10^((D2-D4)/400))^-1</f>
        <v>0.25546383160592667</v>
      </c>
      <c r="D16" s="1">
        <f>(1+10^((E3-E4)/400))^-1</f>
        <v>0.2421783894972496</v>
      </c>
      <c r="E16" s="1" t="s">
        <v>7</v>
      </c>
      <c r="F16" s="1">
        <f>(1+10^((C5-C4)/400))^-1</f>
        <v>0.61858412208903069</v>
      </c>
    </row>
    <row r="17" spans="2:6">
      <c r="B17" t="s">
        <v>28</v>
      </c>
      <c r="C17" s="1">
        <f>(1+10^((E2-E5)/400))^-1</f>
        <v>9.1168756372858636E-2</v>
      </c>
      <c r="D17" s="1">
        <f>(1+10^((D3-D5)/400))^-1</f>
        <v>0.13399184306185932</v>
      </c>
      <c r="E17" s="1">
        <f>(1+10^((C4-C5)/400))^-1</f>
        <v>0.38141587791096926</v>
      </c>
      <c r="F17" s="1" t="s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FDD4E-ACD8-45AA-88C9-18E6233BA56A}">
  <dimension ref="A1:F17"/>
  <sheetViews>
    <sheetView workbookViewId="0">
      <selection activeCell="D10" sqref="D10"/>
    </sheetView>
  </sheetViews>
  <sheetFormatPr baseColWidth="10" defaultColWidth="11.375" defaultRowHeight="14.25"/>
  <cols>
    <col min="2" max="2" width="5" bestFit="1" customWidth="1"/>
    <col min="3" max="4" width="7" bestFit="1" customWidth="1"/>
    <col min="5" max="5" width="9.25" bestFit="1" customWidth="1"/>
    <col min="6" max="6" width="7" bestFit="1" customWidth="1"/>
  </cols>
  <sheetData>
    <row r="1" spans="1:6">
      <c r="A1" s="2" t="s">
        <v>0</v>
      </c>
      <c r="C1">
        <v>0</v>
      </c>
      <c r="D1">
        <v>1</v>
      </c>
      <c r="E1">
        <v>2</v>
      </c>
      <c r="F1">
        <v>3</v>
      </c>
    </row>
    <row r="2" spans="1:6">
      <c r="A2" t="s">
        <v>1</v>
      </c>
      <c r="B2" t="s">
        <v>29</v>
      </c>
      <c r="C2">
        <v>1893</v>
      </c>
      <c r="D2" s="3">
        <f>C2+60*+IF(ABS(D8)&lt;=1,1,IF(ABS(D8)=2,1.5,(11+ABS(D8))/8))*(IF(D8&gt;0,1,IF(D8=0,0.5,0))-D14)</f>
        <v>1877.1645180513096</v>
      </c>
      <c r="E2">
        <f>D2+60*+IF(ABS(E8)&lt;=1,1,IF(ABS(E8)=2,1.5,(11+ABS(E8))/8))*(IF(E8&gt;0,1,IF(E8=0,0.5,0))-E14)</f>
        <v>1867.0910319946229</v>
      </c>
      <c r="F2">
        <f>E2+60*+IF(ABS(F8)&lt;=1,1,IF(ABS(F8)=2,1.5,(11+ABS(F8))/8))*(IF(F8&gt;0,1,IF(F8=0,0.5,0))-F14)</f>
        <v>1882.6220076698462</v>
      </c>
    </row>
    <row r="3" spans="1:6">
      <c r="B3" t="s">
        <v>30</v>
      </c>
      <c r="C3">
        <v>1689</v>
      </c>
      <c r="D3" s="3">
        <f>C3+60*+IF(ABS(C9)&lt;=1,1,IF(ABS(C9)=2,1.5,(11+ABS(C9))/8))*(IF(C9&gt;0,1,IF(C9=0,0.5,0))-C15)</f>
        <v>1704.8354819486904</v>
      </c>
      <c r="E3">
        <f>D3+60*+IF(ABS(F9)&lt;=1,1,IF(ABS(F9)=2,1.5,(11+ABS(F9))/8))*(IF(F9&gt;0,1,IF(F9=0,0.5,0))-F15)</f>
        <v>1734.1239651045041</v>
      </c>
      <c r="F3">
        <f>E3+60*+IF(ABS(E9)&lt;=1,1,IF(ABS(E9)=2,1.5,(11+ABS(E9))/8))*(IF(E9&gt;0,1,IF(E9=0,0.5,0))-E15)</f>
        <v>1736.8573366893602</v>
      </c>
    </row>
    <row r="4" spans="1:6">
      <c r="B4" t="s">
        <v>31</v>
      </c>
      <c r="C4">
        <v>1772</v>
      </c>
      <c r="D4" s="3">
        <f>C4+60*+IF(ABS(F10)&lt;=1,1,IF(ABS(F10)=2,1.5,(11+ABS(F10))/8))*(IF(F10&gt;0,1,IF(F10=0,0.5,0))-F16)</f>
        <v>1755.7941994003411</v>
      </c>
      <c r="E4">
        <f>D4+60*+IF(ABS(C10)&lt;=1,1,IF(ABS(C10)=2,1.5,(11+ABS(C10))/8))*(IF(C10&gt;0,1,IF(C10=0,0.5,0))-C16)</f>
        <v>1765.8676854570276</v>
      </c>
      <c r="F4">
        <f>E4+60*+IF(ABS(D10)&lt;=1,1,IF(ABS(D10)=2,1.5,(11+ABS(D10))/8))*(IF(D10&gt;0,1,IF(D10=0,0.5,0))-D16)</f>
        <v>1763.1343138721716</v>
      </c>
    </row>
    <row r="5" spans="1:6">
      <c r="B5" t="s">
        <v>32</v>
      </c>
      <c r="C5">
        <v>1562</v>
      </c>
      <c r="D5" s="3">
        <f>C5+60*+IF(ABS(E11)&lt;=1,1,IF(ABS(E11)=2,1.5,(11+ABS(E11))/8))*(IF(E11&gt;0,1,IF(E11=0,0.5,0))-E17)</f>
        <v>1578.2058005996589</v>
      </c>
      <c r="E5">
        <f>D5+60*+IF(ABS(D11)&lt;=1,1,IF(ABS(D11)=2,1.5,(11+ABS(D11))/8))*(IF(D11&gt;0,1,IF(D11=0,0.5,0))-D17)</f>
        <v>1548.9173174438451</v>
      </c>
      <c r="F5">
        <f>E5+60*+IF(ABS(C11)&lt;=1,1,IF(ABS(C11)=2,1.5,(11+ABS(C11))/8))*(IF(C11&gt;0,1,IF(C11=0,0.5,0))-C17)</f>
        <v>1540.6341304170594</v>
      </c>
    </row>
    <row r="7" spans="1:6">
      <c r="C7" t="s">
        <v>29</v>
      </c>
      <c r="D7" t="s">
        <v>30</v>
      </c>
      <c r="E7" t="s">
        <v>31</v>
      </c>
      <c r="F7" t="s">
        <v>32</v>
      </c>
    </row>
    <row r="8" spans="1:6">
      <c r="A8" t="s">
        <v>6</v>
      </c>
      <c r="B8" t="s">
        <v>29</v>
      </c>
      <c r="C8" t="s">
        <v>7</v>
      </c>
      <c r="D8">
        <v>0</v>
      </c>
      <c r="E8">
        <v>0</v>
      </c>
      <c r="F8">
        <f>5-1</f>
        <v>4</v>
      </c>
    </row>
    <row r="9" spans="1:6">
      <c r="B9" t="s">
        <v>30</v>
      </c>
      <c r="C9">
        <v>0</v>
      </c>
      <c r="D9" t="s">
        <v>7</v>
      </c>
      <c r="E9">
        <v>0</v>
      </c>
      <c r="F9">
        <f>3-1</f>
        <v>2</v>
      </c>
    </row>
    <row r="10" spans="1:6">
      <c r="B10" t="s">
        <v>31</v>
      </c>
      <c r="C10">
        <v>0</v>
      </c>
      <c r="D10">
        <v>0</v>
      </c>
      <c r="E10" t="s">
        <v>7</v>
      </c>
      <c r="F10">
        <v>0</v>
      </c>
    </row>
    <row r="11" spans="1:6">
      <c r="B11" t="s">
        <v>32</v>
      </c>
      <c r="C11">
        <v>-1</v>
      </c>
      <c r="D11">
        <f>1-3</f>
        <v>-2</v>
      </c>
      <c r="E11">
        <v>0</v>
      </c>
      <c r="F11" t="s">
        <v>7</v>
      </c>
    </row>
    <row r="13" spans="1:6">
      <c r="C13" t="s">
        <v>29</v>
      </c>
      <c r="D13" t="s">
        <v>30</v>
      </c>
      <c r="E13" t="s">
        <v>31</v>
      </c>
      <c r="F13" t="s">
        <v>32</v>
      </c>
    </row>
    <row r="14" spans="1:6">
      <c r="A14" t="s">
        <v>8</v>
      </c>
      <c r="B14" t="s">
        <v>29</v>
      </c>
      <c r="C14" s="1" t="s">
        <v>7</v>
      </c>
      <c r="D14" s="1">
        <f>(1+10^((C3-C2)/400))^-1</f>
        <v>0.76392469914483863</v>
      </c>
      <c r="E14" s="1">
        <f>(1+10^((D4-D2)/400))^-1</f>
        <v>0.66789143427811082</v>
      </c>
      <c r="F14" s="1">
        <f>(1+10^((E5-E2)/400))^-1</f>
        <v>0.86194688288690424</v>
      </c>
    </row>
    <row r="15" spans="1:6">
      <c r="B15" t="s">
        <v>30</v>
      </c>
      <c r="C15" s="1">
        <f>(1+10^((C2-C3)/400))^-1</f>
        <v>0.23607530085516132</v>
      </c>
      <c r="D15" s="1" t="s">
        <v>7</v>
      </c>
      <c r="E15" s="1">
        <f>(1+10^((E4-E3)/400))^-1</f>
        <v>0.45444380691906439</v>
      </c>
      <c r="F15" s="1">
        <f>(1+10^((D5-D3)/400))^-1</f>
        <v>0.67457240937984642</v>
      </c>
    </row>
    <row r="16" spans="1:6">
      <c r="B16" t="s">
        <v>31</v>
      </c>
      <c r="C16" s="1">
        <f>(1+10^((D2-D4)/400))^-1</f>
        <v>0.33210856572188924</v>
      </c>
      <c r="D16" s="1">
        <f>(1+10^((E3-E4)/400))^-1</f>
        <v>0.54555619308093561</v>
      </c>
      <c r="E16" s="1" t="s">
        <v>7</v>
      </c>
      <c r="F16" s="1">
        <f>(1+10^((C5-C4)/400))^-1</f>
        <v>0.77009667666098203</v>
      </c>
    </row>
    <row r="17" spans="2:6">
      <c r="B17" t="s">
        <v>32</v>
      </c>
      <c r="C17" s="1">
        <f>(1+10^((E2-E5)/400))^-1</f>
        <v>0.13805311711309581</v>
      </c>
      <c r="D17" s="1">
        <f>(1+10^((D3-D5)/400))^-1</f>
        <v>0.32542759062015364</v>
      </c>
      <c r="E17" s="1">
        <f>(1+10^((C4-C5)/400))^-1</f>
        <v>0.22990332333901797</v>
      </c>
      <c r="F17" s="1" t="s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CDE5E-0653-47DF-8F90-4C17087F8B81}">
  <dimension ref="A1:F17"/>
  <sheetViews>
    <sheetView workbookViewId="0">
      <selection activeCell="H9" sqref="H9"/>
    </sheetView>
  </sheetViews>
  <sheetFormatPr baseColWidth="10" defaultColWidth="11.375" defaultRowHeight="14.25"/>
  <cols>
    <col min="2" max="2" width="5" bestFit="1" customWidth="1"/>
    <col min="3" max="4" width="7" bestFit="1" customWidth="1"/>
    <col min="5" max="5" width="9.25" bestFit="1" customWidth="1"/>
    <col min="6" max="6" width="7" bestFit="1" customWidth="1"/>
  </cols>
  <sheetData>
    <row r="1" spans="1:6">
      <c r="A1" s="2" t="s">
        <v>0</v>
      </c>
      <c r="C1">
        <v>0</v>
      </c>
      <c r="D1">
        <v>1</v>
      </c>
      <c r="E1">
        <v>2</v>
      </c>
      <c r="F1">
        <v>3</v>
      </c>
    </row>
    <row r="2" spans="1:6">
      <c r="A2" t="s">
        <v>1</v>
      </c>
      <c r="B2" t="s">
        <v>33</v>
      </c>
      <c r="C2">
        <v>2157</v>
      </c>
      <c r="D2" s="3">
        <f>C2+60*+IF(ABS(D8)&lt;=1,1,IF(ABS(D8)=2,1.5,(11+ABS(D8))/8))*(IF(D8&gt;0,1,IF(D8=0,0.5,0))-D14)</f>
        <v>2129.0673931423762</v>
      </c>
      <c r="E2">
        <f>D2+60*+IF(ABS(E8)&lt;=1,1,IF(ABS(E8)=2,1.5,(11+ABS(E8))/8))*(IF(E8&gt;0,1,IF(E8=0,0.5,0))-E14)</f>
        <v>2133.9268780778843</v>
      </c>
      <c r="F2">
        <f>E2+60*+IF(ABS(F8)&lt;=1,1,IF(ABS(F8)=2,1.5,(11+ABS(F8))/8))*(IF(F8&gt;0,1,IF(F8=0,0.5,0))-F14)</f>
        <v>2143.7605984832735</v>
      </c>
    </row>
    <row r="3" spans="1:6">
      <c r="B3" t="s">
        <v>34</v>
      </c>
      <c r="C3">
        <v>1578</v>
      </c>
      <c r="D3" s="3">
        <f>C3+60*+IF(ABS(C9)&lt;=1,1,IF(ABS(C9)=2,1.5,(11+ABS(C9))/8))*(IF(C9&gt;0,1,IF(C9=0,0.5,0))-C15)</f>
        <v>1605.9326068576236</v>
      </c>
      <c r="E3">
        <f>D3+60*+IF(ABS(F9)&lt;=1,1,IF(ABS(F9)=2,1.5,(11+ABS(F9))/8))*(IF(F9&gt;0,1,IF(F9=0,0.5,0))-F15)</f>
        <v>1625.1701617192889</v>
      </c>
      <c r="F3">
        <f>E3+60*+IF(ABS(E9)&lt;=1,1,IF(ABS(E9)=2,1.5,(11+ABS(E9))/8))*(IF(E9&gt;0,1,IF(E9=0,0.5,0))-E15)</f>
        <v>1621.8067737411131</v>
      </c>
    </row>
    <row r="4" spans="1:6">
      <c r="B4" t="s">
        <v>35</v>
      </c>
      <c r="C4">
        <v>1569</v>
      </c>
      <c r="D4" s="3">
        <f>C4+60*+IF(ABS(F10)&lt;=1,1,IF(ABS(F10)=2,1.5,(11+ABS(F10))/8))*(IF(F10&gt;0,1,IF(F10=0,0.5,0))-F16)</f>
        <v>1590.9131823137136</v>
      </c>
      <c r="E4">
        <f>D4+60*+IF(ABS(C10)&lt;=1,1,IF(ABS(C10)=2,1.5,(11+ABS(C10))/8))*(IF(C10&gt;0,1,IF(C10=0,0.5,0))-C16)</f>
        <v>1586.0536973782052</v>
      </c>
      <c r="F4">
        <f>E4+60*+IF(ABS(D10)&lt;=1,1,IF(ABS(D10)=2,1.5,(11+ABS(D10))/8))*(IF(D10&gt;0,1,IF(D10=0,0.5,0))-D16)</f>
        <v>1589.417085356381</v>
      </c>
    </row>
    <row r="5" spans="1:6">
      <c r="B5" t="s">
        <v>36</v>
      </c>
      <c r="C5">
        <v>1892</v>
      </c>
      <c r="D5" s="3">
        <f>C5+60*+IF(ABS(E11)&lt;=1,1,IF(ABS(E11)=2,1.5,(11+ABS(E11))/8))*(IF(E11&gt;0,1,IF(E11=0,0.5,0))-E17)</f>
        <v>1870.0868176862864</v>
      </c>
      <c r="E5">
        <f>D5+60*+IF(ABS(D11)&lt;=1,1,IF(ABS(D11)=2,1.5,(11+ABS(D11))/8))*(IF(D11&gt;0,1,IF(D11=0,0.5,0))-D17)</f>
        <v>1850.8492628246211</v>
      </c>
      <c r="F5">
        <f>E5+60*+IF(ABS(C11)&lt;=1,1,IF(ABS(C11)=2,1.5,(11+ABS(C11))/8))*(IF(C11&gt;0,1,IF(C11=0,0.5,0))-C17)</f>
        <v>1841.0155424192321</v>
      </c>
    </row>
    <row r="7" spans="1:6">
      <c r="C7" t="s">
        <v>33</v>
      </c>
      <c r="D7" t="s">
        <v>34</v>
      </c>
      <c r="E7" t="s">
        <v>35</v>
      </c>
      <c r="F7" t="s">
        <v>36</v>
      </c>
    </row>
    <row r="8" spans="1:6">
      <c r="A8" t="s">
        <v>6</v>
      </c>
      <c r="B8" t="s">
        <v>33</v>
      </c>
      <c r="C8" t="s">
        <v>7</v>
      </c>
      <c r="D8">
        <v>0</v>
      </c>
      <c r="E8">
        <v>4</v>
      </c>
      <c r="F8">
        <v>1</v>
      </c>
    </row>
    <row r="9" spans="1:6">
      <c r="B9" t="s">
        <v>34</v>
      </c>
      <c r="C9">
        <v>0</v>
      </c>
      <c r="D9" t="s">
        <v>7</v>
      </c>
      <c r="E9">
        <v>0</v>
      </c>
      <c r="F9">
        <v>0</v>
      </c>
    </row>
    <row r="10" spans="1:6">
      <c r="B10" t="s">
        <v>35</v>
      </c>
      <c r="C10">
        <v>-4</v>
      </c>
      <c r="D10">
        <v>0</v>
      </c>
      <c r="E10" t="s">
        <v>7</v>
      </c>
      <c r="F10">
        <v>0</v>
      </c>
    </row>
    <row r="11" spans="1:6">
      <c r="B11" t="s">
        <v>36</v>
      </c>
      <c r="C11">
        <v>-1</v>
      </c>
      <c r="D11">
        <v>0</v>
      </c>
      <c r="E11">
        <v>0</v>
      </c>
      <c r="F11" t="s">
        <v>7</v>
      </c>
    </row>
    <row r="13" spans="1:6">
      <c r="C13" t="s">
        <v>33</v>
      </c>
      <c r="D13" t="s">
        <v>34</v>
      </c>
      <c r="E13" t="s">
        <v>35</v>
      </c>
      <c r="F13" t="s">
        <v>36</v>
      </c>
    </row>
    <row r="14" spans="1:6">
      <c r="A14" t="s">
        <v>8</v>
      </c>
      <c r="B14" t="s">
        <v>33</v>
      </c>
      <c r="C14" s="1" t="s">
        <v>7</v>
      </c>
      <c r="D14" s="1">
        <f>(1+10^((C3-C2)/400))^-1</f>
        <v>0.96554344762706035</v>
      </c>
      <c r="E14" s="1">
        <f>(1+10^((D4-D2)/400))^-1</f>
        <v>0.95680457835103716</v>
      </c>
      <c r="F14" s="1">
        <f>(1+10^((E5-E2)/400))^-1</f>
        <v>0.83610465991018401</v>
      </c>
    </row>
    <row r="15" spans="1:6">
      <c r="B15" t="s">
        <v>34</v>
      </c>
      <c r="C15" s="1">
        <f>(1+10^((C2-C3)/400))^-1</f>
        <v>3.445655237293959E-2</v>
      </c>
      <c r="D15" s="1" t="s">
        <v>7</v>
      </c>
      <c r="E15" s="1">
        <f>(1+10^((E4-E3)/400))^-1</f>
        <v>0.55605646630293093</v>
      </c>
      <c r="F15" s="1">
        <f>(1+10^((D5-D3)/400))^-1</f>
        <v>0.17937408563891066</v>
      </c>
    </row>
    <row r="16" spans="1:6">
      <c r="B16" t="s">
        <v>35</v>
      </c>
      <c r="C16" s="1">
        <f>(1+10^((D2-D4)/400))^-1</f>
        <v>4.319542164896284E-2</v>
      </c>
      <c r="D16" s="1">
        <f>(1+10^((E3-E4)/400))^-1</f>
        <v>0.44394353369706913</v>
      </c>
      <c r="E16" s="1" t="s">
        <v>7</v>
      </c>
      <c r="F16" s="1">
        <f>(1+10^((C5-C4)/400))^-1</f>
        <v>0.13478029477144171</v>
      </c>
    </row>
    <row r="17" spans="2:6">
      <c r="B17" t="s">
        <v>36</v>
      </c>
      <c r="C17" s="1">
        <f>(1+10^((E2-E5)/400))^-1</f>
        <v>0.16389534008981591</v>
      </c>
      <c r="D17" s="1">
        <f>(1+10^((D3-D5)/400))^-1</f>
        <v>0.82062591436108934</v>
      </c>
      <c r="E17" s="1">
        <f>(1+10^((C4-C5)/400))^-1</f>
        <v>0.86521970522855829</v>
      </c>
      <c r="F17" s="1" t="s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6DB6D-A9C8-4DB4-B976-87F9EFE3E35B}">
  <dimension ref="A1:F17"/>
  <sheetViews>
    <sheetView workbookViewId="0">
      <selection activeCell="F2" sqref="F2"/>
    </sheetView>
  </sheetViews>
  <sheetFormatPr baseColWidth="10" defaultColWidth="11.375" defaultRowHeight="14.25"/>
  <cols>
    <col min="2" max="2" width="5" bestFit="1" customWidth="1"/>
    <col min="3" max="4" width="7" bestFit="1" customWidth="1"/>
    <col min="5" max="5" width="9.25" bestFit="1" customWidth="1"/>
    <col min="6" max="6" width="7" bestFit="1" customWidth="1"/>
  </cols>
  <sheetData>
    <row r="1" spans="1:6">
      <c r="A1" s="2" t="s">
        <v>0</v>
      </c>
      <c r="C1">
        <v>0</v>
      </c>
      <c r="D1">
        <v>1</v>
      </c>
      <c r="E1">
        <v>2</v>
      </c>
      <c r="F1">
        <v>3</v>
      </c>
    </row>
    <row r="2" spans="1:6">
      <c r="A2" t="s">
        <v>1</v>
      </c>
      <c r="B2" t="s">
        <v>37</v>
      </c>
      <c r="C2">
        <v>2063</v>
      </c>
      <c r="D2" s="3">
        <f>C2+60*+IF(ABS(D8)&lt;=1,1,IF(ABS(D8)=2,1.5,(11+ABS(D8))/8))*(IF(D8&gt;0,1,IF(D8=0,0.5,0))-D14)</f>
        <v>2085.0033006135923</v>
      </c>
      <c r="E2">
        <f>D2+60*+IF(ABS(E8)&lt;=1,1,IF(ABS(E8)=2,1.5,(11+ABS(E8))/8))*(IF(E8&gt;0,1,IF(E8=0,0.5,0))-E14)</f>
        <v>2091.0997594760147</v>
      </c>
      <c r="F2">
        <f>E2+60*+IF(ABS(F8)&lt;=1,1,IF(ABS(F8)=2,1.5,(11+ABS(F8))/8))*(IF(F8&gt;0,1,IF(F8=0,0.5,0))-F14)</f>
        <v>2122.5692586180039</v>
      </c>
    </row>
    <row r="3" spans="1:6">
      <c r="B3" t="s">
        <v>38</v>
      </c>
      <c r="C3">
        <v>1867</v>
      </c>
      <c r="D3" s="3">
        <f>C3+60*+IF(ABS(C9)&lt;=1,1,IF(ABS(C9)=2,1.5,(11+ABS(C9))/8))*(IF(C9&gt;0,1,IF(C9=0,0.5,0))-C15)</f>
        <v>1844.9966993864077</v>
      </c>
      <c r="E3">
        <f>D3+60*+IF(ABS(F9)&lt;=1,1,IF(ABS(F9)=2,1.5,(11+ABS(F9))/8))*(IF(F9&gt;0,1,IF(F9=0,0.5,0))-F15)</f>
        <v>1821.3783941116199</v>
      </c>
      <c r="F3">
        <f>E3+60*+IF(ABS(E9)&lt;=1,1,IF(ABS(E9)=2,1.5,(11+ABS(E9))/8))*(IF(E9&gt;0,1,IF(E9=0,0.5,0))-E15)</f>
        <v>1846.9978268146551</v>
      </c>
    </row>
    <row r="4" spans="1:6">
      <c r="B4" t="s">
        <v>39</v>
      </c>
      <c r="C4">
        <v>1618</v>
      </c>
      <c r="D4" s="3">
        <f>C4+60*+IF(ABS(F10)&lt;=1,1,IF(ABS(F10)=2,1.5,(11+ABS(F10))/8))*(IF(F10&gt;0,1,IF(F10=0,0.5,0))-F16)</f>
        <v>1600.9496231289968</v>
      </c>
      <c r="E4">
        <f>D4+60*+IF(ABS(C10)&lt;=1,1,IF(ABS(C10)=2,1.5,(11+ABS(C10))/8))*(IF(C10&gt;0,1,IF(C10=0,0.5,0))-C16)</f>
        <v>1594.8531642665744</v>
      </c>
      <c r="F4">
        <f>E4+60*+IF(ABS(D10)&lt;=1,1,IF(ABS(D10)=2,1.5,(11+ABS(D10))/8))*(IF(D10&gt;0,1,IF(D10=0,0.5,0))-D16)</f>
        <v>1569.2337315635391</v>
      </c>
    </row>
    <row r="5" spans="1:6">
      <c r="B5" t="s">
        <v>40</v>
      </c>
      <c r="C5">
        <v>1903</v>
      </c>
      <c r="D5" s="3">
        <f>C5+60*+IF(ABS(E11)&lt;=1,1,IF(ABS(E11)=2,1.5,(11+ABS(E11))/8))*(IF(E11&gt;0,1,IF(E11=0,0.5,0))-E17)</f>
        <v>1920.0503768710032</v>
      </c>
      <c r="E5">
        <f>D5+60*+IF(ABS(D11)&lt;=1,1,IF(ABS(D11)=2,1.5,(11+ABS(D11))/8))*(IF(D11&gt;0,1,IF(D11=0,0.5,0))-D17)</f>
        <v>1943.6686821457911</v>
      </c>
      <c r="F5">
        <f>E5+60*+IF(ABS(C11)&lt;=1,1,IF(ABS(C11)=2,1.5,(11+ABS(C11))/8))*(IF(C11&gt;0,1,IF(C11=0,0.5,0))-C17)</f>
        <v>1912.1991830038019</v>
      </c>
    </row>
    <row r="7" spans="1:6">
      <c r="C7" t="s">
        <v>37</v>
      </c>
      <c r="D7" t="s">
        <v>38</v>
      </c>
      <c r="E7" t="s">
        <v>39</v>
      </c>
      <c r="F7" t="s">
        <v>40</v>
      </c>
    </row>
    <row r="8" spans="1:6">
      <c r="A8" t="s">
        <v>6</v>
      </c>
      <c r="B8" t="s">
        <v>37</v>
      </c>
      <c r="C8" t="s">
        <v>7</v>
      </c>
      <c r="D8">
        <f>3-1</f>
        <v>2</v>
      </c>
      <c r="E8">
        <v>3</v>
      </c>
      <c r="F8">
        <v>3</v>
      </c>
    </row>
    <row r="9" spans="1:6">
      <c r="B9" t="s">
        <v>38</v>
      </c>
      <c r="C9">
        <f>1-3</f>
        <v>-2</v>
      </c>
      <c r="D9" t="s">
        <v>7</v>
      </c>
      <c r="E9">
        <v>5</v>
      </c>
      <c r="F9">
        <f>2-3</f>
        <v>-1</v>
      </c>
    </row>
    <row r="10" spans="1:6">
      <c r="B10" t="s">
        <v>39</v>
      </c>
      <c r="C10">
        <v>-3</v>
      </c>
      <c r="D10">
        <v>-5</v>
      </c>
      <c r="E10" t="s">
        <v>7</v>
      </c>
      <c r="F10">
        <f>1-4</f>
        <v>-3</v>
      </c>
    </row>
    <row r="11" spans="1:6">
      <c r="B11" t="s">
        <v>40</v>
      </c>
      <c r="C11">
        <v>-3</v>
      </c>
      <c r="D11">
        <f>3-2</f>
        <v>1</v>
      </c>
      <c r="E11">
        <f>4-1</f>
        <v>3</v>
      </c>
      <c r="F11" t="s">
        <v>7</v>
      </c>
    </row>
    <row r="13" spans="1:6">
      <c r="C13" t="s">
        <v>37</v>
      </c>
      <c r="D13" t="s">
        <v>38</v>
      </c>
      <c r="E13" t="s">
        <v>39</v>
      </c>
      <c r="F13" t="s">
        <v>40</v>
      </c>
    </row>
    <row r="14" spans="1:6">
      <c r="A14" t="s">
        <v>8</v>
      </c>
      <c r="B14" t="s">
        <v>37</v>
      </c>
      <c r="C14" s="1" t="s">
        <v>7</v>
      </c>
      <c r="D14" s="1">
        <f>(1+10^((C3-C2)/400))^-1</f>
        <v>0.75551888207119688</v>
      </c>
      <c r="E14" s="1">
        <f>(1+10^((D4-D2)/400))^-1</f>
        <v>0.94193848702454908</v>
      </c>
      <c r="F14" s="1">
        <f>(1+10^((E5-E2)/400))^-1</f>
        <v>0.70029048436200658</v>
      </c>
    </row>
    <row r="15" spans="1:6">
      <c r="B15" t="s">
        <v>38</v>
      </c>
      <c r="C15" s="1">
        <f>(1+10^((C2-C3)/400))^-1</f>
        <v>0.24448111792880314</v>
      </c>
      <c r="D15" s="1" t="s">
        <v>7</v>
      </c>
      <c r="E15" s="1">
        <f>(1+10^((E4-E3)/400))^-1</f>
        <v>0.78650472747470646</v>
      </c>
      <c r="F15" s="1">
        <f>(1+10^((D5-D3)/400))^-1</f>
        <v>0.39363842124646614</v>
      </c>
    </row>
    <row r="16" spans="1:6">
      <c r="B16" t="s">
        <v>39</v>
      </c>
      <c r="C16" s="1">
        <f>(1+10^((D2-D4)/400))^-1</f>
        <v>5.8061512975450903E-2</v>
      </c>
      <c r="D16" s="1">
        <f>(1+10^((E3-E4)/400))^-1</f>
        <v>0.2134952725252936</v>
      </c>
      <c r="E16" s="1" t="s">
        <v>7</v>
      </c>
      <c r="F16" s="1">
        <f>(1+10^((C5-C4)/400))^-1</f>
        <v>0.16238454162860255</v>
      </c>
    </row>
    <row r="17" spans="2:6">
      <c r="B17" t="s">
        <v>40</v>
      </c>
      <c r="C17" s="1">
        <f>(1+10^((E2-E5)/400))^-1</f>
        <v>0.29970951563799342</v>
      </c>
      <c r="D17" s="1">
        <f>(1+10^((D3-D5)/400))^-1</f>
        <v>0.60636157875353391</v>
      </c>
      <c r="E17" s="1">
        <f>(1+10^((C4-C5)/400))^-1</f>
        <v>0.83761545837139739</v>
      </c>
      <c r="F17" s="1" t="s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7339A-B8E8-4D96-8F30-02B7C0C23C0F}">
  <dimension ref="A1:F17"/>
  <sheetViews>
    <sheetView workbookViewId="0">
      <selection activeCell="E3" sqref="E3"/>
    </sheetView>
  </sheetViews>
  <sheetFormatPr baseColWidth="10" defaultColWidth="11.375" defaultRowHeight="14.25"/>
  <cols>
    <col min="2" max="2" width="5" bestFit="1" customWidth="1"/>
    <col min="3" max="4" width="7" bestFit="1" customWidth="1"/>
    <col min="5" max="5" width="9.25" bestFit="1" customWidth="1"/>
    <col min="6" max="6" width="7" bestFit="1" customWidth="1"/>
  </cols>
  <sheetData>
    <row r="1" spans="1:6">
      <c r="A1" s="2" t="s">
        <v>0</v>
      </c>
      <c r="C1">
        <v>0</v>
      </c>
      <c r="D1">
        <v>1</v>
      </c>
      <c r="E1">
        <v>2</v>
      </c>
      <c r="F1">
        <v>3</v>
      </c>
    </row>
    <row r="2" spans="1:6">
      <c r="A2" t="s">
        <v>1</v>
      </c>
      <c r="B2" t="s">
        <v>41</v>
      </c>
      <c r="C2">
        <v>2115</v>
      </c>
      <c r="D2" s="3">
        <f>C2+60*+IF(ABS(D8)&lt;=1,1,IF(ABS(D8)=2,1.5,(11+ABS(D8))/8))*(IF(D8&gt;0,1,IF(D8=0,0.5,0))-D14)</f>
        <v>2127.0441640143217</v>
      </c>
      <c r="E2">
        <f>D2+60*+IF(ABS(E8)&lt;=1,1,IF(ABS(E8)=2,1.5,(11+ABS(E8))/8))*(IF(E8&gt;0,1,IF(E8=0,0.5,0))-E14)</f>
        <v>2142.7208133703712</v>
      </c>
      <c r="F2">
        <f>E2+60*+IF(ABS(F8)&lt;=1,1,IF(ABS(F8)=2,1.5,(11+ABS(F8))/8))*(IF(F8&gt;0,1,IF(F8=0,0.5,0))-F14)</f>
        <v>2115.7218267124695</v>
      </c>
    </row>
    <row r="3" spans="1:6">
      <c r="B3" t="s">
        <v>42</v>
      </c>
      <c r="C3">
        <v>1760</v>
      </c>
      <c r="D3" s="3">
        <f>C3+60*+IF(ABS(C9)&lt;=1,1,IF(ABS(C9)=2,1.5,(11+ABS(C9))/8))*(IF(C9&gt;0,1,IF(C9=0,0.5,0))-C15)</f>
        <v>1747.9558359856783</v>
      </c>
      <c r="E3">
        <f>D3+60*+IF(ABS(F9)&lt;=1,1,IF(ABS(F9)=2,1.5,(11+ABS(F9))/8))*(IF(F9&gt;0,1,IF(F9=0,0.5,0))-F15)</f>
        <v>1769.9793563288833</v>
      </c>
      <c r="F3">
        <f>E3+60*+IF(ABS(E9)&lt;=1,1,IF(ABS(E9)=2,1.5,(11+ABS(E9))/8))*(IF(E9&gt;0,1,IF(E9=0,0.5,0))-E15)</f>
        <v>1776.0293102294445</v>
      </c>
    </row>
    <row r="4" spans="1:6">
      <c r="B4" t="s">
        <v>43</v>
      </c>
      <c r="C4">
        <v>1830</v>
      </c>
      <c r="D4" s="3">
        <f>C4+60*+IF(ABS(F10)&lt;=1,1,IF(ABS(F10)=2,1.5,(11+ABS(F10))/8))*(IF(F10&gt;0,1,IF(F10=0,0.5,0))-F16)</f>
        <v>1856.6953496875353</v>
      </c>
      <c r="E4">
        <f>D4+60*+IF(ABS(C10)&lt;=1,1,IF(ABS(C10)=2,1.5,(11+ABS(C10))/8))*(IF(C10&gt;0,1,IF(C10=0,0.5,0))-C16)</f>
        <v>1841.0187003314859</v>
      </c>
      <c r="F4">
        <f>E4+60*+IF(ABS(D10)&lt;=1,1,IF(ABS(D10)=2,1.5,(11+ABS(D10))/8))*(IF(D10&gt;0,1,IF(D10=0,0.5,0))-D16)</f>
        <v>1834.9687464309247</v>
      </c>
    </row>
    <row r="5" spans="1:6">
      <c r="B5" t="s">
        <v>44</v>
      </c>
      <c r="C5">
        <v>1680</v>
      </c>
      <c r="D5" s="3">
        <f>C5+60*+IF(ABS(E11)&lt;=1,1,IF(ABS(E11)=2,1.5,(11+ABS(E11))/8))*(IF(E11&gt;0,1,IF(E11=0,0.5,0))-E17)</f>
        <v>1653.3046503124647</v>
      </c>
      <c r="E5">
        <f>D5+60*+IF(ABS(D11)&lt;=1,1,IF(ABS(D11)=2,1.5,(11+ABS(D11))/8))*(IF(D11&gt;0,1,IF(D11=0,0.5,0))-D17)</f>
        <v>1631.2811299692596</v>
      </c>
      <c r="F5">
        <f>E5+60*+IF(ABS(C11)&lt;=1,1,IF(ABS(C11)=2,1.5,(11+ABS(C11))/8))*(IF(C11&gt;0,1,IF(C11=0,0.5,0))-C17)</f>
        <v>1658.2801166271613</v>
      </c>
    </row>
    <row r="7" spans="1:6">
      <c r="C7" t="s">
        <v>41</v>
      </c>
      <c r="D7" t="s">
        <v>42</v>
      </c>
      <c r="E7" t="s">
        <v>43</v>
      </c>
      <c r="F7" t="s">
        <v>44</v>
      </c>
    </row>
    <row r="8" spans="1:6">
      <c r="A8" t="s">
        <v>6</v>
      </c>
      <c r="B8" t="s">
        <v>41</v>
      </c>
      <c r="C8" t="s">
        <v>7</v>
      </c>
      <c r="D8">
        <f>3-0</f>
        <v>3</v>
      </c>
      <c r="E8">
        <v>2</v>
      </c>
    </row>
    <row r="9" spans="1:6">
      <c r="B9" t="s">
        <v>42</v>
      </c>
      <c r="C9">
        <f>0-3</f>
        <v>-3</v>
      </c>
      <c r="D9" t="s">
        <v>7</v>
      </c>
      <c r="F9">
        <f>2-1</f>
        <v>1</v>
      </c>
    </row>
    <row r="10" spans="1:6">
      <c r="B10" t="s">
        <v>43</v>
      </c>
      <c r="C10">
        <v>-2</v>
      </c>
      <c r="E10" t="s">
        <v>7</v>
      </c>
      <c r="F10">
        <f>3-1</f>
        <v>2</v>
      </c>
    </row>
    <row r="11" spans="1:6">
      <c r="B11" t="s">
        <v>44</v>
      </c>
      <c r="D11">
        <f>1-2</f>
        <v>-1</v>
      </c>
      <c r="E11">
        <f>1-3</f>
        <v>-2</v>
      </c>
      <c r="F11" t="s">
        <v>7</v>
      </c>
    </row>
    <row r="13" spans="1:6">
      <c r="C13" t="s">
        <v>41</v>
      </c>
      <c r="D13" t="s">
        <v>42</v>
      </c>
      <c r="E13" t="s">
        <v>43</v>
      </c>
      <c r="F13" t="s">
        <v>44</v>
      </c>
    </row>
    <row r="14" spans="1:6">
      <c r="A14" t="s">
        <v>8</v>
      </c>
      <c r="B14" t="s">
        <v>41</v>
      </c>
      <c r="C14" s="1" t="s">
        <v>7</v>
      </c>
      <c r="D14" s="1">
        <f>(1+10^((C3-C2)/400))^-1</f>
        <v>0.88529367605407883</v>
      </c>
      <c r="E14" s="1">
        <f>(1+10^((D4-D2)/400))^-1</f>
        <v>0.82581500715500611</v>
      </c>
      <c r="F14" s="1">
        <f>(1+10^((E5-E2)/400))^-1</f>
        <v>0.94998311096502819</v>
      </c>
    </row>
    <row r="15" spans="1:6">
      <c r="B15" t="s">
        <v>42</v>
      </c>
      <c r="C15" s="1">
        <f>(1+10^((C2-C3)/400))^-1</f>
        <v>0.11470632394592116</v>
      </c>
      <c r="D15" s="1" t="s">
        <v>7</v>
      </c>
      <c r="E15" s="1">
        <f>(1+10^((E4-E3)/400))^-1</f>
        <v>0.39916743499064661</v>
      </c>
      <c r="F15" s="1">
        <f>(1+10^((D5-D3)/400))^-1</f>
        <v>0.63294132761324751</v>
      </c>
    </row>
    <row r="16" spans="1:6">
      <c r="B16" t="s">
        <v>43</v>
      </c>
      <c r="C16" s="1">
        <f>(1+10^((D2-D4)/400))^-1</f>
        <v>0.17418499284499397</v>
      </c>
      <c r="D16" s="1">
        <f>(1+10^((E3-E4)/400))^-1</f>
        <v>0.60083256500935334</v>
      </c>
      <c r="E16" s="1" t="s">
        <v>7</v>
      </c>
      <c r="F16" s="1">
        <f>(1+10^((C5-C4)/400))^-1</f>
        <v>0.70338500347182864</v>
      </c>
    </row>
    <row r="17" spans="2:6">
      <c r="B17" t="s">
        <v>44</v>
      </c>
      <c r="C17" s="1">
        <f>(1+10^((E2-E5)/400))^-1</f>
        <v>5.0016889034971729E-2</v>
      </c>
      <c r="D17" s="1">
        <f>(1+10^((D3-D5)/400))^-1</f>
        <v>0.36705867238675244</v>
      </c>
      <c r="E17" s="1">
        <f>(1+10^((C4-C5)/400))^-1</f>
        <v>0.2966149965281713</v>
      </c>
      <c r="F17" s="1" t="s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61F6F-8EFB-456E-BB7F-08859CCDEC32}">
  <dimension ref="A1:F17"/>
  <sheetViews>
    <sheetView workbookViewId="0">
      <selection activeCell="E4" sqref="E4"/>
    </sheetView>
  </sheetViews>
  <sheetFormatPr baseColWidth="10" defaultColWidth="11.375" defaultRowHeight="14.25"/>
  <cols>
    <col min="2" max="2" width="5" bestFit="1" customWidth="1"/>
    <col min="3" max="4" width="7" bestFit="1" customWidth="1"/>
    <col min="5" max="5" width="9.25" bestFit="1" customWidth="1"/>
    <col min="6" max="6" width="7" bestFit="1" customWidth="1"/>
  </cols>
  <sheetData>
    <row r="1" spans="1:6">
      <c r="A1" s="2" t="s">
        <v>0</v>
      </c>
      <c r="C1">
        <v>0</v>
      </c>
      <c r="D1">
        <v>1</v>
      </c>
      <c r="E1">
        <v>2</v>
      </c>
      <c r="F1">
        <v>3</v>
      </c>
    </row>
    <row r="2" spans="1:6">
      <c r="A2" t="s">
        <v>1</v>
      </c>
      <c r="B2" t="s">
        <v>45</v>
      </c>
      <c r="C2">
        <v>1986</v>
      </c>
      <c r="D2" s="3">
        <f>C2+60*+IF(ABS(D8)&lt;=1,1,IF(ABS(D8)=2,1.5,(11+ABS(D8))/8))*(IF(D8&gt;0,1,IF(D8=0,0.5,0))-D14)</f>
        <v>1964.0066013726275</v>
      </c>
      <c r="E2">
        <f>D2+60*+IF(ABS(E8)&lt;=1,1,IF(ABS(E8)=2,1.5,(11+ABS(E8))/8))*(IF(E8&gt;0,1,IF(E8=0,0.5,0))-E14)</f>
        <v>1985.3586848110099</v>
      </c>
      <c r="F2">
        <f>E2+60*+IF(ABS(F8)&lt;=1,1,IF(ABS(F8)=2,1.5,(11+ABS(F8))/8))*(IF(F8&gt;0,1,IF(F8=0,0.5,0))-F14)</f>
        <v>1984.5743271663491</v>
      </c>
    </row>
    <row r="3" spans="1:6">
      <c r="B3" t="s">
        <v>46</v>
      </c>
      <c r="C3">
        <v>1661</v>
      </c>
      <c r="D3" s="3">
        <f>C3+60*+IF(ABS(C9)&lt;=1,1,IF(ABS(C9)=2,1.5,(11+ABS(C9))/8))*(IF(C9&gt;0,1,IF(C9=0,0.5,0))-C15)</f>
        <v>1682.9933986273725</v>
      </c>
      <c r="E3">
        <f>D3+60*+IF(ABS(F9)&lt;=1,1,IF(ABS(F9)=2,1.5,(11+ABS(F9))/8))*(IF(F9&gt;0,1,IF(F9=0,0.5,0))-F15)</f>
        <v>1704.5730388336458</v>
      </c>
      <c r="F3">
        <f>E3+60*+IF(ABS(E9)&lt;=1,1,IF(ABS(E9)=2,1.5,(11+ABS(E9))/8))*(IF(E9&gt;0,1,IF(E9=0,0.5,0))-E15)</f>
        <v>1702.1796267999073</v>
      </c>
    </row>
    <row r="4" spans="1:6">
      <c r="B4" t="s">
        <v>47</v>
      </c>
      <c r="C4">
        <v>1714</v>
      </c>
      <c r="D4" s="3">
        <f>C4+60*+IF(ABS(F10)&lt;=1,1,IF(ABS(F10)=2,1.5,(11+ABS(F10))/8))*(IF(F10&gt;0,1,IF(F10=0,0.5,0))-F16)</f>
        <v>1698.1475375655016</v>
      </c>
      <c r="E4">
        <f>D4+60*+IF(ABS(C10)&lt;=1,1,IF(ABS(C10)=2,1.5,(11+ABS(C10))/8))*(IF(C10&gt;0,1,IF(C10=0,0.5,0))-C16)</f>
        <v>1676.7954541271195</v>
      </c>
      <c r="F4">
        <f>E4+60*+IF(ABS(D10)&lt;=1,1,IF(ABS(D10)=2,1.5,(11+ABS(D10))/8))*(IF(D10&gt;0,1,IF(D10=0,0.5,0))-D16)</f>
        <v>1679.188866160858</v>
      </c>
    </row>
    <row r="5" spans="1:6">
      <c r="B5" t="s">
        <v>48</v>
      </c>
      <c r="C5">
        <v>1982</v>
      </c>
      <c r="D5" s="3">
        <f>C5+60*+IF(ABS(E11)&lt;=1,1,IF(ABS(E11)=2,1.5,(11+ABS(E11))/8))*(IF(E11&gt;0,1,IF(E11=0,0.5,0))-E17)</f>
        <v>1997.8524624344984</v>
      </c>
      <c r="E5">
        <f>D5+60*+IF(ABS(D11)&lt;=1,1,IF(ABS(D11)=2,1.5,(11+ABS(D11))/8))*(IF(D11&gt;0,1,IF(D11=0,0.5,0))-D17)</f>
        <v>1976.2728222282251</v>
      </c>
      <c r="F5">
        <f>E5+60*+IF(ABS(C11)&lt;=1,1,IF(ABS(C11)=2,1.5,(11+ABS(C11))/8))*(IF(C11&gt;0,1,IF(C11=0,0.5,0))-C17)</f>
        <v>1977.0571798728859</v>
      </c>
    </row>
    <row r="7" spans="1:6">
      <c r="C7" t="s">
        <v>45</v>
      </c>
      <c r="D7" t="s">
        <v>46</v>
      </c>
      <c r="E7" t="s">
        <v>47</v>
      </c>
      <c r="F7" t="s">
        <v>48</v>
      </c>
    </row>
    <row r="8" spans="1:6">
      <c r="A8" t="s">
        <v>6</v>
      </c>
      <c r="B8" t="s">
        <v>45</v>
      </c>
      <c r="C8" t="s">
        <v>7</v>
      </c>
      <c r="D8">
        <v>0</v>
      </c>
      <c r="E8">
        <f>5-0</f>
        <v>5</v>
      </c>
    </row>
    <row r="9" spans="1:6">
      <c r="B9" t="s">
        <v>46</v>
      </c>
      <c r="C9">
        <v>0</v>
      </c>
      <c r="D9" t="s">
        <v>7</v>
      </c>
    </row>
    <row r="10" spans="1:6">
      <c r="B10" t="s">
        <v>47</v>
      </c>
      <c r="C10">
        <f>0-5</f>
        <v>-5</v>
      </c>
      <c r="E10" t="s">
        <v>7</v>
      </c>
      <c r="F10">
        <f>1-3</f>
        <v>-2</v>
      </c>
    </row>
    <row r="11" spans="1:6">
      <c r="B11" t="s">
        <v>48</v>
      </c>
      <c r="E11">
        <v>2</v>
      </c>
      <c r="F11" t="s">
        <v>7</v>
      </c>
    </row>
    <row r="13" spans="1:6">
      <c r="C13" t="s">
        <v>45</v>
      </c>
      <c r="D13" t="s">
        <v>46</v>
      </c>
      <c r="E13" t="s">
        <v>47</v>
      </c>
      <c r="F13" t="s">
        <v>48</v>
      </c>
    </row>
    <row r="14" spans="1:6">
      <c r="A14" t="s">
        <v>8</v>
      </c>
      <c r="B14" t="s">
        <v>45</v>
      </c>
      <c r="C14" s="1" t="s">
        <v>7</v>
      </c>
      <c r="D14" s="1">
        <f>(1+10^((C3-C2)/400))^-1</f>
        <v>0.86655664378954012</v>
      </c>
      <c r="E14" s="1">
        <f>(1+10^((D4-D2)/400))^-1</f>
        <v>0.82206597134681469</v>
      </c>
      <c r="F14" s="1">
        <f>(1+10^((E5-E2)/400))^-1</f>
        <v>0.51307262741101356</v>
      </c>
    </row>
    <row r="15" spans="1:6">
      <c r="B15" t="s">
        <v>46</v>
      </c>
      <c r="C15" s="1">
        <f>(1+10^((C2-C3)/400))^-1</f>
        <v>0.13344335621045988</v>
      </c>
      <c r="D15" s="1" t="s">
        <v>7</v>
      </c>
      <c r="E15" s="1">
        <f>(1+10^((E4-E3)/400))^-1</f>
        <v>0.53989020056230941</v>
      </c>
      <c r="F15" s="1">
        <f>(1+10^((D5-D3)/400))^-1</f>
        <v>0.14033932989544409</v>
      </c>
    </row>
    <row r="16" spans="1:6">
      <c r="B16" t="s">
        <v>47</v>
      </c>
      <c r="C16" s="1">
        <f>(1+10^((D2-D4)/400))^-1</f>
        <v>0.17793402865318528</v>
      </c>
      <c r="D16" s="1">
        <f>(1+10^((E3-E4)/400))^-1</f>
        <v>0.46010979943769065</v>
      </c>
      <c r="E16" s="1" t="s">
        <v>7</v>
      </c>
      <c r="F16" s="1">
        <f>(1+10^((C5-C4)/400))^-1</f>
        <v>0.17613847149442757</v>
      </c>
    </row>
    <row r="17" spans="2:6">
      <c r="B17" t="s">
        <v>48</v>
      </c>
      <c r="C17" s="1">
        <f>(1+10^((E2-E5)/400))^-1</f>
        <v>0.48692737258898644</v>
      </c>
      <c r="D17" s="1">
        <f>(1+10^((D3-D5)/400))^-1</f>
        <v>0.85966067010455582</v>
      </c>
      <c r="E17" s="1">
        <f>(1+10^((C4-C5)/400))^-1</f>
        <v>0.82386152850557237</v>
      </c>
      <c r="F17" s="1" t="s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7AB2-FA52-415D-85D1-1A65743E8B2D}">
  <dimension ref="A1:F17"/>
  <sheetViews>
    <sheetView workbookViewId="0">
      <selection activeCell="D5" sqref="D5"/>
    </sheetView>
  </sheetViews>
  <sheetFormatPr baseColWidth="10" defaultColWidth="11.375" defaultRowHeight="14.25"/>
  <cols>
    <col min="2" max="2" width="5" bestFit="1" customWidth="1"/>
    <col min="3" max="4" width="7" bestFit="1" customWidth="1"/>
    <col min="5" max="5" width="9.25" bestFit="1" customWidth="1"/>
    <col min="6" max="6" width="7" bestFit="1" customWidth="1"/>
  </cols>
  <sheetData>
    <row r="1" spans="1:6">
      <c r="A1" s="2" t="s">
        <v>0</v>
      </c>
      <c r="C1">
        <v>0</v>
      </c>
      <c r="D1">
        <v>1</v>
      </c>
      <c r="E1">
        <v>2</v>
      </c>
      <c r="F1">
        <v>3</v>
      </c>
    </row>
    <row r="2" spans="1:6">
      <c r="A2" t="s">
        <v>1</v>
      </c>
      <c r="B2" t="s">
        <v>49</v>
      </c>
      <c r="C2">
        <v>2021</v>
      </c>
      <c r="D2" s="3">
        <f>C2+60*+IF(ABS(D8)&lt;=1,1,IF(ABS(D8)=2,1.5,(11+ABS(D8))/8))*(IF(D8&gt;0,1,IF(D8=0,0.5,0))-D14)</f>
        <v>2052.2104549503019</v>
      </c>
      <c r="E2">
        <f>D2+60*+IF(ABS(E8)&lt;=1,1,IF(ABS(E8)=2,1.5,(11+ABS(E8))/8))*(IF(E8&gt;0,1,IF(E8=0,0.5,0))-E14)</f>
        <v>2025.485857806824</v>
      </c>
      <c r="F2">
        <f>E2+60*+IF(ABS(F8)&lt;=1,1,IF(ABS(F8)=2,1.5,(11+ABS(F8))/8))*(IF(F8&gt;0,1,IF(F8=0,0.5,0))-F14)</f>
        <v>2035.7086130792134</v>
      </c>
    </row>
    <row r="3" spans="1:6">
      <c r="B3" t="s">
        <v>50</v>
      </c>
      <c r="C3">
        <v>1911</v>
      </c>
      <c r="D3" s="3">
        <f>C3+60*+IF(ABS(C9)&lt;=1,1,IF(ABS(C9)=2,1.5,(11+ABS(C9))/8))*(IF(C9&gt;0,1,IF(C9=0,0.5,0))-C15)</f>
        <v>1879.7895450496983</v>
      </c>
      <c r="E3">
        <f>D3+60*+IF(ABS(F9)&lt;=1,1,IF(ABS(F9)=2,1.5,(11+ABS(F9))/8))*(IF(F9&gt;0,1,IF(F9=0,0.5,0))-F15)</f>
        <v>1894.420338541463</v>
      </c>
      <c r="F3">
        <f>E3+60*+IF(ABS(E9)&lt;=1,1,IF(ABS(E9)=2,1.5,(11+ABS(E9))/8))*(IF(E9&gt;0,1,IF(E9=0,0.5,0))-E15)</f>
        <v>1903.0075345742423</v>
      </c>
    </row>
    <row r="4" spans="1:6">
      <c r="B4" t="s">
        <v>51</v>
      </c>
      <c r="C4">
        <v>1510</v>
      </c>
      <c r="D4" s="3">
        <f>C4+60*+IF(ABS(F10)&lt;=1,1,IF(ABS(F10)=2,1.5,(11+ABS(F10))/8))*(IF(F10&gt;0,1,IF(F10=0,0.5,0))-F16)</f>
        <v>1556.8077762395894</v>
      </c>
      <c r="E4">
        <f>D4+60*+IF(ABS(C10)&lt;=1,1,IF(ABS(C10)=2,1.5,(11+ABS(C10))/8))*(IF(C10&gt;0,1,IF(C10=0,0.5,0))-C16)</f>
        <v>1583.5323733830674</v>
      </c>
      <c r="F4">
        <f>E4+60*+IF(ABS(D10)&lt;=1,1,IF(ABS(D10)=2,1.5,(11+ABS(D10))/8))*(IF(D10&gt;0,1,IF(D10=0,0.5,0))-D16)</f>
        <v>1574.9451773502881</v>
      </c>
    </row>
    <row r="5" spans="1:6">
      <c r="B5" t="s">
        <v>52</v>
      </c>
      <c r="C5">
        <v>1730</v>
      </c>
      <c r="D5" s="3">
        <f>C5+60*+IF(ABS(E11)&lt;=1,1,IF(ABS(E11)=2,1.5,(11+ABS(E11))/8))*(IF(E11&gt;0,1,IF(E11=0,0.5,0))-E17)</f>
        <v>1683.1922237604106</v>
      </c>
      <c r="E5">
        <f>D5+60*+IF(ABS(D11)&lt;=1,1,IF(ABS(D11)=2,1.5,(11+ABS(D11))/8))*(IF(D11&gt;0,1,IF(D11=0,0.5,0))-D17)</f>
        <v>1668.5614302686458</v>
      </c>
      <c r="F5">
        <f>E5+60*+IF(ABS(C11)&lt;=1,1,IF(ABS(C11)=2,1.5,(11+ABS(C11))/8))*(IF(C11&gt;0,1,IF(C11=0,0.5,0))-C17)</f>
        <v>1658.3386749962565</v>
      </c>
    </row>
    <row r="7" spans="1:6">
      <c r="C7" t="s">
        <v>49</v>
      </c>
      <c r="D7" t="s">
        <v>50</v>
      </c>
      <c r="E7" t="s">
        <v>51</v>
      </c>
      <c r="F7" t="s">
        <v>52</v>
      </c>
    </row>
    <row r="8" spans="1:6">
      <c r="A8" t="s">
        <v>6</v>
      </c>
      <c r="B8" t="s">
        <v>49</v>
      </c>
      <c r="C8" t="s">
        <v>7</v>
      </c>
      <c r="D8">
        <v>2</v>
      </c>
      <c r="E8">
        <v>0</v>
      </c>
      <c r="F8">
        <v>2</v>
      </c>
    </row>
    <row r="9" spans="1:6">
      <c r="B9" t="s">
        <v>50</v>
      </c>
      <c r="C9">
        <v>-2</v>
      </c>
      <c r="D9" t="s">
        <v>7</v>
      </c>
      <c r="E9">
        <v>1</v>
      </c>
      <c r="F9">
        <v>1</v>
      </c>
    </row>
    <row r="10" spans="1:6">
      <c r="B10" t="s">
        <v>51</v>
      </c>
      <c r="C10">
        <v>0</v>
      </c>
      <c r="D10">
        <v>-1</v>
      </c>
      <c r="E10" t="s">
        <v>7</v>
      </c>
      <c r="F10">
        <v>1</v>
      </c>
    </row>
    <row r="11" spans="1:6">
      <c r="B11" t="s">
        <v>52</v>
      </c>
      <c r="C11">
        <v>-2</v>
      </c>
      <c r="D11">
        <v>-1</v>
      </c>
      <c r="E11">
        <v>-1</v>
      </c>
      <c r="F11" t="s">
        <v>7</v>
      </c>
    </row>
    <row r="13" spans="1:6">
      <c r="C13" t="s">
        <v>49</v>
      </c>
      <c r="D13" t="s">
        <v>50</v>
      </c>
      <c r="E13" t="s">
        <v>51</v>
      </c>
      <c r="F13" t="s">
        <v>52</v>
      </c>
    </row>
    <row r="14" spans="1:6">
      <c r="A14" t="s">
        <v>8</v>
      </c>
      <c r="B14" t="s">
        <v>49</v>
      </c>
      <c r="C14" s="1" t="s">
        <v>7</v>
      </c>
      <c r="D14" s="1">
        <f>(1+10^((C3-C2)/400))^-1</f>
        <v>0.6532171672188698</v>
      </c>
      <c r="E14" s="1">
        <f>(1+10^((D4-D2)/400))^-1</f>
        <v>0.94540995239129777</v>
      </c>
      <c r="F14" s="1">
        <f>(1+10^((E5-E2)/400))^-1</f>
        <v>0.88641383030678611</v>
      </c>
    </row>
    <row r="15" spans="1:6">
      <c r="B15" t="s">
        <v>50</v>
      </c>
      <c r="C15" s="1">
        <f>(1+10^((C2-C3)/400))^-1</f>
        <v>0.34678283278113026</v>
      </c>
      <c r="D15" s="1" t="s">
        <v>7</v>
      </c>
      <c r="E15" s="1">
        <f>(1+10^((E4-E3)/400))^-1</f>
        <v>0.85688006612034573</v>
      </c>
      <c r="F15" s="1">
        <f>(1+10^((D5-D3)/400))^-1</f>
        <v>0.75615344180392197</v>
      </c>
    </row>
    <row r="16" spans="1:6">
      <c r="B16" t="s">
        <v>51</v>
      </c>
      <c r="C16" s="1">
        <f>(1+10^((D2-D4)/400))^-1</f>
        <v>5.4590047608702279E-2</v>
      </c>
      <c r="D16" s="1">
        <f>(1+10^((E3-E4)/400))^-1</f>
        <v>0.14311993387965427</v>
      </c>
      <c r="E16" s="1" t="s">
        <v>7</v>
      </c>
      <c r="F16" s="1">
        <f>(1+10^((C5-C4)/400))^-1</f>
        <v>0.2198703960068415</v>
      </c>
    </row>
    <row r="17" spans="2:6">
      <c r="B17" t="s">
        <v>52</v>
      </c>
      <c r="C17" s="1">
        <f>(1+10^((E2-E5)/400))^-1</f>
        <v>0.11358616969321378</v>
      </c>
      <c r="D17" s="1">
        <f>(1+10^((D3-D5)/400))^-1</f>
        <v>0.24384655819607798</v>
      </c>
      <c r="E17" s="1">
        <f>(1+10^((C4-C5)/400))^-1</f>
        <v>0.78012960399315845</v>
      </c>
      <c r="F17" s="1" t="s">
        <v>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37B15-8A6C-4BB6-9090-70C4C7622331}">
  <dimension ref="A1:AJ46"/>
  <sheetViews>
    <sheetView tabSelected="1" zoomScale="85" zoomScaleNormal="85" workbookViewId="0">
      <selection activeCell="O9" sqref="O9"/>
    </sheetView>
  </sheetViews>
  <sheetFormatPr baseColWidth="10" defaultColWidth="10.75" defaultRowHeight="14.25"/>
  <sheetData>
    <row r="1" spans="1:36" ht="15.75" thickBot="1">
      <c r="A1" s="18" t="s">
        <v>53</v>
      </c>
      <c r="B1" s="18"/>
      <c r="C1" s="18"/>
      <c r="D1" s="18"/>
      <c r="E1" s="15" t="s">
        <v>54</v>
      </c>
      <c r="F1" s="16"/>
      <c r="G1" s="16"/>
      <c r="H1" s="17"/>
      <c r="I1" s="15" t="s">
        <v>55</v>
      </c>
      <c r="J1" s="16"/>
      <c r="K1" s="16"/>
      <c r="L1" s="17"/>
      <c r="M1" s="15" t="s">
        <v>56</v>
      </c>
      <c r="N1" s="16"/>
      <c r="O1" s="16"/>
      <c r="P1" s="17"/>
      <c r="Q1" s="15" t="s">
        <v>57</v>
      </c>
      <c r="R1" s="16"/>
      <c r="S1" s="16"/>
      <c r="T1" s="17"/>
      <c r="U1" s="15" t="s">
        <v>56</v>
      </c>
      <c r="V1" s="16"/>
      <c r="W1" s="16"/>
      <c r="X1" s="17"/>
      <c r="Y1" s="15" t="s">
        <v>55</v>
      </c>
      <c r="Z1" s="16"/>
      <c r="AA1" s="16"/>
      <c r="AB1" s="17"/>
      <c r="AC1" s="15" t="s">
        <v>54</v>
      </c>
      <c r="AD1" s="16"/>
      <c r="AE1" s="16"/>
      <c r="AF1" s="17"/>
      <c r="AG1" s="15" t="s">
        <v>53</v>
      </c>
      <c r="AH1" s="16"/>
      <c r="AI1" s="16"/>
      <c r="AJ1" s="17"/>
    </row>
    <row r="2" spans="1:36">
      <c r="A2" s="5" t="s">
        <v>3</v>
      </c>
      <c r="B2" s="6">
        <f>(1+10^((C32-B32)/400))^-1</f>
        <v>0.26444334071921227</v>
      </c>
      <c r="C2" s="6">
        <f>(1+10^((B32-C32)/400))^-1</f>
        <v>0.73555665928078773</v>
      </c>
      <c r="D2" s="7" t="s">
        <v>9</v>
      </c>
      <c r="E2" s="5"/>
      <c r="F2" s="7"/>
      <c r="G2" s="7"/>
      <c r="H2" s="8"/>
      <c r="I2" s="5"/>
      <c r="J2" s="7"/>
      <c r="K2" s="7"/>
      <c r="L2" s="8"/>
      <c r="M2" s="5"/>
      <c r="N2" s="7"/>
      <c r="O2" s="7"/>
      <c r="P2" s="8"/>
      <c r="Q2" s="5"/>
      <c r="R2" s="7"/>
      <c r="S2" s="7"/>
      <c r="T2" s="8"/>
      <c r="U2" s="5"/>
      <c r="V2" s="7"/>
      <c r="W2" s="7"/>
      <c r="X2" s="8"/>
      <c r="Y2" s="5"/>
      <c r="Z2" s="7"/>
      <c r="AA2" s="7"/>
      <c r="AB2" s="8"/>
      <c r="AC2" s="5"/>
      <c r="AD2" s="7"/>
      <c r="AE2" s="7"/>
      <c r="AF2" s="8"/>
      <c r="AG2" s="5" t="s">
        <v>13</v>
      </c>
      <c r="AH2" s="6">
        <f>(1+10^((AI32-AH32)/400))^-1</f>
        <v>0.64000478436190977</v>
      </c>
      <c r="AI2" s="6">
        <f>(1+10^((AH32-AI32)/400))^-1</f>
        <v>0.35999521563809017</v>
      </c>
      <c r="AJ2" s="8" t="s">
        <v>58</v>
      </c>
    </row>
    <row r="3" spans="1:36">
      <c r="A3" s="9"/>
      <c r="E3" s="9" t="s">
        <v>9</v>
      </c>
      <c r="F3" s="1">
        <f>(1+10^((G33-F33)/400))^-1</f>
        <v>0.34253814031400698</v>
      </c>
      <c r="G3" s="1">
        <f>(1+10^((F33-G33)/400))^-1</f>
        <v>0.65746185968599291</v>
      </c>
      <c r="H3" s="10" t="s">
        <v>14</v>
      </c>
      <c r="I3" s="9"/>
      <c r="L3" s="10"/>
      <c r="M3" s="9"/>
      <c r="P3" s="10"/>
      <c r="Q3" s="9"/>
      <c r="T3" s="10"/>
      <c r="U3" s="9"/>
      <c r="X3" s="10"/>
      <c r="Y3" s="9"/>
      <c r="AB3" s="10"/>
      <c r="AC3" s="9" t="s">
        <v>13</v>
      </c>
      <c r="AD3" s="1">
        <f>(1+10^((AE33-AD33)/400))^-1</f>
        <v>0.64235759569216488</v>
      </c>
      <c r="AE3" s="1">
        <f>(1+10^((AD33-AE33)/400))^-1</f>
        <v>0.35764240430783506</v>
      </c>
      <c r="AF3" s="10" t="s">
        <v>40</v>
      </c>
      <c r="AG3" s="9"/>
      <c r="AJ3" s="10"/>
    </row>
    <row r="4" spans="1:36">
      <c r="A4" s="9" t="s">
        <v>25</v>
      </c>
      <c r="B4" s="11">
        <f>(1+10^((C34-B34)/400))^-1</f>
        <v>0.64030147179085617</v>
      </c>
      <c r="C4" s="11">
        <f>(1+10^((B34-C34)/400))^-1</f>
        <v>0.35969852820914383</v>
      </c>
      <c r="D4" t="s">
        <v>14</v>
      </c>
      <c r="E4" s="9"/>
      <c r="H4" s="10"/>
      <c r="I4" s="9"/>
      <c r="L4" s="10"/>
      <c r="M4" s="9"/>
      <c r="P4" s="10"/>
      <c r="Q4" s="9"/>
      <c r="T4" s="10"/>
      <c r="U4" s="9"/>
      <c r="X4" s="10"/>
      <c r="Y4" s="9"/>
      <c r="AB4" s="10"/>
      <c r="AC4" s="9"/>
      <c r="AF4" s="10"/>
      <c r="AG4" s="9" t="s">
        <v>59</v>
      </c>
      <c r="AH4" s="11">
        <f>(1+10^((AI34-AH34)/400))^-1</f>
        <v>0.27494885819733828</v>
      </c>
      <c r="AI4" s="11">
        <f>(1+10^((AH34-AI34)/400))^-1</f>
        <v>0.72505114180266172</v>
      </c>
      <c r="AJ4" s="10" t="s">
        <v>40</v>
      </c>
    </row>
    <row r="5" spans="1:36">
      <c r="A5" s="9"/>
      <c r="E5" s="9"/>
      <c r="H5" s="10"/>
      <c r="I5" s="9" t="s">
        <v>14</v>
      </c>
      <c r="J5" s="1">
        <f>(1+10^((K35-J35)/400))^-1</f>
        <v>0.22025788335403818</v>
      </c>
      <c r="K5" s="1">
        <f>(1+10^((J35-K35)/400))^-1</f>
        <v>0.77974211664596194</v>
      </c>
      <c r="L5" s="10" t="s">
        <v>37</v>
      </c>
      <c r="M5" s="9"/>
      <c r="P5" s="10"/>
      <c r="Q5" s="9" t="s">
        <v>33</v>
      </c>
      <c r="T5" s="10" t="s">
        <v>41</v>
      </c>
      <c r="U5" s="9"/>
      <c r="X5" s="10"/>
      <c r="Y5" s="9" t="s">
        <v>40</v>
      </c>
      <c r="Z5" s="1">
        <f>(1+10^((AA35-Z35)/400))^-1</f>
        <v>0.36103910205556738</v>
      </c>
      <c r="AA5" s="1">
        <f>(1+10^((Z35-AA35)/400))^-1</f>
        <v>0.63896089794443256</v>
      </c>
      <c r="AB5" s="10" t="s">
        <v>49</v>
      </c>
      <c r="AG5" s="9"/>
      <c r="AJ5" s="10"/>
    </row>
    <row r="6" spans="1:36">
      <c r="A6" s="9" t="s">
        <v>60</v>
      </c>
      <c r="B6" s="11">
        <f>(1+10^((C36-B36)/400))^-1</f>
        <v>0.65021605115128445</v>
      </c>
      <c r="C6" s="11">
        <f>(1+10^((B36-C36)/400))^-1</f>
        <v>0.34978394884871555</v>
      </c>
      <c r="D6" t="s">
        <v>18</v>
      </c>
      <c r="E6" s="9"/>
      <c r="H6" s="10"/>
      <c r="I6" s="9"/>
      <c r="L6" s="10"/>
      <c r="M6" s="9"/>
      <c r="P6" s="10"/>
      <c r="Q6" s="9"/>
      <c r="T6" s="10"/>
      <c r="U6" s="9"/>
      <c r="X6" s="10"/>
      <c r="Y6" s="9"/>
      <c r="AB6" s="10"/>
      <c r="AC6" s="9"/>
      <c r="AF6" s="10"/>
      <c r="AG6" s="9" t="s">
        <v>2</v>
      </c>
      <c r="AH6" s="11">
        <f>(1+10^((AI36-AH36)/400))^-1</f>
        <v>0.52432184344704247</v>
      </c>
      <c r="AI6" s="11">
        <f>(1+10^((AH36-AI36)/400))^-1</f>
        <v>0.47567815655295742</v>
      </c>
      <c r="AJ6" s="10" t="s">
        <v>24</v>
      </c>
    </row>
    <row r="7" spans="1:36">
      <c r="A7" s="9"/>
      <c r="E7" s="9" t="s">
        <v>18</v>
      </c>
      <c r="F7" s="1">
        <f>(1+10^((G37-F37)/400))^-1</f>
        <v>0.13966232847749413</v>
      </c>
      <c r="G7" s="1">
        <f>(1+10^((F37-G37)/400))^-1</f>
        <v>0.86033767152250584</v>
      </c>
      <c r="H7" s="10" t="s">
        <v>37</v>
      </c>
      <c r="I7" s="9"/>
      <c r="L7" s="10"/>
      <c r="M7" s="9"/>
      <c r="P7" s="10"/>
      <c r="Q7" s="9"/>
      <c r="T7" s="10"/>
      <c r="U7" s="9"/>
      <c r="X7" s="10"/>
      <c r="Y7" s="9"/>
      <c r="AB7" s="10"/>
      <c r="AC7" s="9" t="s">
        <v>49</v>
      </c>
      <c r="AD7" s="1">
        <f>(1+10^((AE37-AD37)/400))^-1</f>
        <v>0.61625122813077282</v>
      </c>
      <c r="AE7" s="1">
        <f>(1+10^((AD37-AE37)/400))^-1</f>
        <v>0.38374877186922712</v>
      </c>
      <c r="AF7" s="10" t="s">
        <v>2</v>
      </c>
      <c r="AG7" s="9"/>
      <c r="AJ7" s="10"/>
    </row>
    <row r="8" spans="1:36">
      <c r="A8" s="9" t="s">
        <v>37</v>
      </c>
      <c r="B8" s="11">
        <f>(1+10^((C38-B38)/400))^-1</f>
        <v>0.89960211252882349</v>
      </c>
      <c r="C8" s="11">
        <f>(1+10^((B38-C38)/400))^-1</f>
        <v>0.10039788747117653</v>
      </c>
      <c r="D8" t="s">
        <v>27</v>
      </c>
      <c r="E8" s="9"/>
      <c r="H8" s="10"/>
      <c r="I8" s="9"/>
      <c r="L8" s="10"/>
      <c r="M8" s="9"/>
      <c r="P8" s="10"/>
      <c r="Q8" s="9"/>
      <c r="T8" s="10"/>
      <c r="U8" s="9"/>
      <c r="X8" s="10"/>
      <c r="Y8" s="9"/>
      <c r="AB8" s="10"/>
      <c r="AC8" s="9"/>
      <c r="AF8" s="10"/>
      <c r="AG8" s="9" t="s">
        <v>49</v>
      </c>
      <c r="AH8" s="11">
        <f>(1+10^((AI38-AH38)/400))^-1</f>
        <v>0.87213254341802549</v>
      </c>
      <c r="AI8" s="11">
        <f>(1+10^((AH38-AI38)/400))^-1</f>
        <v>0.12786745658197451</v>
      </c>
      <c r="AJ8" s="10" t="s">
        <v>61</v>
      </c>
    </row>
    <row r="9" spans="1:36">
      <c r="A9" s="9"/>
      <c r="E9" s="9"/>
      <c r="H9" s="10"/>
      <c r="I9" s="9"/>
      <c r="L9" s="10"/>
      <c r="M9" s="9" t="s">
        <v>37</v>
      </c>
      <c r="N9" s="1">
        <f>(1+10^((O39-N39)/400))^-1</f>
        <v>0.45944253757086106</v>
      </c>
      <c r="O9" s="22">
        <f>(1+10^((N39-O39)/400))^-1</f>
        <v>0.54055746242913894</v>
      </c>
      <c r="P9" s="10" t="s">
        <v>33</v>
      </c>
      <c r="Q9" s="9"/>
      <c r="R9" s="1"/>
      <c r="S9" s="1"/>
      <c r="T9" s="10"/>
      <c r="U9" s="9" t="s">
        <v>49</v>
      </c>
      <c r="V9" s="1">
        <f>(1+10^((W39-V39)/400))^-1</f>
        <v>0.41317027783846882</v>
      </c>
      <c r="W9" s="20">
        <f>(1+10^((V39-W39)/400))^-1</f>
        <v>0.58682972216153118</v>
      </c>
      <c r="X9" s="10" t="s">
        <v>41</v>
      </c>
      <c r="Y9" s="9"/>
      <c r="AB9" s="10"/>
      <c r="AC9" s="9"/>
      <c r="AF9" s="10"/>
      <c r="AG9" s="9"/>
      <c r="AJ9" s="10"/>
    </row>
    <row r="10" spans="1:36">
      <c r="A10" s="9" t="s">
        <v>29</v>
      </c>
      <c r="B10" s="11">
        <f>(1+10^((C40-B40)/400))^-1</f>
        <v>0.55108840593997455</v>
      </c>
      <c r="C10" s="11">
        <f>(1+10^((B40-C40)/400))^-1</f>
        <v>0.44891159406002545</v>
      </c>
      <c r="D10" t="s">
        <v>38</v>
      </c>
      <c r="E10" s="9"/>
      <c r="H10" s="10"/>
      <c r="I10" s="9"/>
      <c r="L10" s="10"/>
      <c r="M10" s="9"/>
      <c r="P10" s="10"/>
      <c r="Q10" s="9"/>
      <c r="T10" s="10"/>
      <c r="U10" s="9"/>
      <c r="X10" s="10"/>
      <c r="Y10" s="9"/>
      <c r="AB10" s="10"/>
      <c r="AC10" s="9"/>
      <c r="AF10" s="10"/>
      <c r="AG10" s="9" t="s">
        <v>62</v>
      </c>
      <c r="AH10" s="11">
        <f>(1+10^((AI40-AH40)/400))^-1</f>
        <v>0.6930324448322146</v>
      </c>
      <c r="AI10" s="11">
        <f>(1+10^((AH40-AI40)/400))^-1</f>
        <v>0.30696755516778546</v>
      </c>
      <c r="AJ10" s="10" t="s">
        <v>42</v>
      </c>
    </row>
    <row r="11" spans="1:36">
      <c r="A11" s="9"/>
      <c r="E11" s="9" t="s">
        <v>29</v>
      </c>
      <c r="F11" s="1">
        <f>(1+10^((G41-F41)/400))^-1</f>
        <v>0.59728336452278075</v>
      </c>
      <c r="G11" s="1">
        <f>(1+10^((F41-G41)/400))^-1</f>
        <v>0.40271663547721936</v>
      </c>
      <c r="H11" s="10" t="s">
        <v>17</v>
      </c>
      <c r="I11" s="9"/>
      <c r="L11" s="10"/>
      <c r="M11" s="9"/>
      <c r="P11" s="10"/>
      <c r="Q11" s="9"/>
      <c r="T11" s="10"/>
      <c r="U11" s="9"/>
      <c r="X11" s="10"/>
      <c r="Y11" s="9"/>
      <c r="AB11" s="10"/>
      <c r="AC11" s="9" t="s">
        <v>62</v>
      </c>
      <c r="AD11" s="1">
        <f>(1+10^((AE41-AD41)/400))^-1</f>
        <v>0.44648229269975631</v>
      </c>
      <c r="AE11" s="1">
        <f>(1+10^((AD41-AE41)/400))^-1</f>
        <v>0.55351770730024363</v>
      </c>
      <c r="AF11" s="10" t="s">
        <v>48</v>
      </c>
      <c r="AG11" s="9"/>
      <c r="AJ11" s="10"/>
    </row>
    <row r="12" spans="1:36">
      <c r="A12" s="9" t="s">
        <v>17</v>
      </c>
      <c r="B12" s="11">
        <f>(1+10^((C42-B42)/400))^-1</f>
        <v>0.763679568109078</v>
      </c>
      <c r="C12" s="11">
        <f>(1+10^((B42-C42)/400))^-1</f>
        <v>0.23632043189092194</v>
      </c>
      <c r="D12" t="s">
        <v>63</v>
      </c>
      <c r="E12" s="9"/>
      <c r="H12" s="10"/>
      <c r="I12" s="9"/>
      <c r="L12" s="10"/>
      <c r="M12" s="9"/>
      <c r="P12" s="10"/>
      <c r="Q12" s="9"/>
      <c r="T12" s="10"/>
      <c r="U12" s="9"/>
      <c r="X12" s="10"/>
      <c r="Y12" s="9"/>
      <c r="AB12" s="10"/>
      <c r="AC12" s="9"/>
      <c r="AF12" s="10"/>
      <c r="AG12" s="9" t="s">
        <v>48</v>
      </c>
      <c r="AH12" s="11">
        <f>(1+10^((AI42-AH42)/400))^-1</f>
        <v>0.91009068988107678</v>
      </c>
      <c r="AI12" s="11">
        <f>(1+10^((AH42-AI42)/400))^-1</f>
        <v>8.9909310118923128E-2</v>
      </c>
      <c r="AJ12" s="10" t="s">
        <v>51</v>
      </c>
    </row>
    <row r="13" spans="1:36">
      <c r="A13" s="9"/>
      <c r="E13" s="9"/>
      <c r="H13" s="10"/>
      <c r="I13" s="9" t="s">
        <v>29</v>
      </c>
      <c r="J13" s="1">
        <f>(1+10^((K43-J43)/400))^-1</f>
        <v>0.21516117197881118</v>
      </c>
      <c r="K13" s="22">
        <f>(1+10^((J43-K43)/400))^-1</f>
        <v>0.78483882802118887</v>
      </c>
      <c r="L13" s="10" t="s">
        <v>33</v>
      </c>
      <c r="M13" s="9"/>
      <c r="P13" s="10"/>
      <c r="Q13" s="9" t="s">
        <v>37</v>
      </c>
      <c r="T13" s="10" t="s">
        <v>49</v>
      </c>
      <c r="U13" s="9"/>
      <c r="X13" s="10"/>
      <c r="Y13" s="9" t="s">
        <v>62</v>
      </c>
      <c r="Z13" s="1">
        <f>(1+10^((AA43-Z43)/400))^-1</f>
        <v>0.26547084869679038</v>
      </c>
      <c r="AA13" s="20">
        <f>(1+10^((Z43-AA43)/400))^-1</f>
        <v>0.73452915130320973</v>
      </c>
      <c r="AB13" s="10" t="s">
        <v>41</v>
      </c>
      <c r="AC13" s="9"/>
      <c r="AF13" s="10"/>
      <c r="AG13" s="9"/>
      <c r="AJ13" s="10"/>
    </row>
    <row r="14" spans="1:36">
      <c r="A14" s="9" t="s">
        <v>33</v>
      </c>
      <c r="B14" s="21">
        <f>(1+10^((C44-B44)/400))^-1</f>
        <v>0.85539392696647165</v>
      </c>
      <c r="C14" s="11">
        <f>(1+10^((B44-C44)/400))^-1</f>
        <v>0.14460607303352843</v>
      </c>
      <c r="D14" t="s">
        <v>43</v>
      </c>
      <c r="E14" s="9"/>
      <c r="H14" s="10"/>
      <c r="I14" s="9"/>
      <c r="L14" s="10"/>
      <c r="M14" s="9"/>
      <c r="P14" s="10"/>
      <c r="Q14" s="9"/>
      <c r="T14" s="10"/>
      <c r="U14" s="9"/>
      <c r="X14" s="10"/>
      <c r="Y14" s="9"/>
      <c r="AB14" s="10"/>
      <c r="AC14" s="9"/>
      <c r="AF14" s="10"/>
      <c r="AG14" s="9" t="s">
        <v>19</v>
      </c>
      <c r="AH14" s="11">
        <f>(1+10^((AI44-AH44)/400))^-1</f>
        <v>0.56364756058807586</v>
      </c>
      <c r="AI14" s="11">
        <f>(1+10^((AH44-AI44)/400))^-1</f>
        <v>0.43635243941192414</v>
      </c>
      <c r="AJ14" s="10" t="s">
        <v>30</v>
      </c>
    </row>
    <row r="15" spans="1:36">
      <c r="A15" s="9"/>
      <c r="E15" s="9" t="s">
        <v>33</v>
      </c>
      <c r="F15" s="22">
        <f>(1+10^((G45-F45)/400))^-1</f>
        <v>0.70492757273641538</v>
      </c>
      <c r="G15" s="1">
        <f>(1+10^((F45-G45)/400))^-1</f>
        <v>0.29507242726358457</v>
      </c>
      <c r="H15" s="10" t="s">
        <v>45</v>
      </c>
      <c r="I15" s="9"/>
      <c r="L15" s="10"/>
      <c r="M15" s="9"/>
      <c r="P15" s="10"/>
      <c r="Q15" s="9"/>
      <c r="T15" s="10"/>
      <c r="U15" s="9"/>
      <c r="X15" s="10"/>
      <c r="Y15" s="9"/>
      <c r="AB15" s="10"/>
      <c r="AC15" s="9" t="s">
        <v>30</v>
      </c>
      <c r="AD15" s="1">
        <f>(1+10^((AE45-AD45)/400))^-1</f>
        <v>0.10174866627263905</v>
      </c>
      <c r="AE15" s="20">
        <f>(1+10^((AD45-AE45)/400))^-1</f>
        <v>0.89825133372736099</v>
      </c>
      <c r="AF15" s="10" t="s">
        <v>41</v>
      </c>
      <c r="AG15" s="9"/>
      <c r="AJ15" s="10"/>
    </row>
    <row r="16" spans="1:36" ht="15" thickBot="1">
      <c r="A16" s="9" t="s">
        <v>45</v>
      </c>
      <c r="B16" s="11">
        <f>(1+10^((C46-B46)/400))^-1</f>
        <v>0.61527397569609854</v>
      </c>
      <c r="C16" s="11">
        <f>(1+10^((B46-C46)/400))^-1</f>
        <v>0.38472602430390146</v>
      </c>
      <c r="D16" t="s">
        <v>50</v>
      </c>
      <c r="E16" s="9"/>
      <c r="H16" s="10"/>
      <c r="I16" s="9"/>
      <c r="L16" s="10"/>
      <c r="M16" s="9"/>
      <c r="P16" s="10"/>
      <c r="Q16" s="9"/>
      <c r="T16" s="10"/>
      <c r="U16" s="9"/>
      <c r="X16" s="10"/>
      <c r="Y16" s="9"/>
      <c r="AB16" s="10"/>
      <c r="AC16" s="9"/>
      <c r="AF16" s="10"/>
      <c r="AG16" s="9" t="s">
        <v>41</v>
      </c>
      <c r="AH16" s="20">
        <f>(1+10^((AI46-AH46)/400))^-1</f>
        <v>0.94496630285118988</v>
      </c>
      <c r="AI16" s="11">
        <f>(1+10^((AH46-AI46)/400))^-1</f>
        <v>5.5033697148810165E-2</v>
      </c>
      <c r="AJ16" s="10" t="s">
        <v>64</v>
      </c>
    </row>
    <row r="17" spans="1:36">
      <c r="A17" s="5" t="s">
        <v>3</v>
      </c>
      <c r="B17" s="7">
        <v>0</v>
      </c>
      <c r="C17" s="7">
        <v>1</v>
      </c>
      <c r="D17" s="7" t="s">
        <v>9</v>
      </c>
      <c r="E17" s="5"/>
      <c r="F17" s="7"/>
      <c r="G17" s="7"/>
      <c r="H17" s="8"/>
      <c r="I17" s="7"/>
      <c r="J17" s="7"/>
      <c r="K17" s="7"/>
      <c r="L17" s="8"/>
      <c r="M17" s="5"/>
      <c r="N17" s="7"/>
      <c r="O17" s="7"/>
      <c r="P17" s="8"/>
      <c r="Q17" s="5"/>
      <c r="R17" s="7"/>
      <c r="S17" s="7"/>
      <c r="T17" s="8"/>
      <c r="U17" s="5"/>
      <c r="V17" s="7"/>
      <c r="W17" s="7"/>
      <c r="X17" s="8"/>
      <c r="Y17" s="5"/>
      <c r="Z17" s="7"/>
      <c r="AA17" s="7"/>
      <c r="AB17" s="8"/>
      <c r="AC17" s="5"/>
      <c r="AD17" s="7"/>
      <c r="AE17" s="7"/>
      <c r="AF17" s="8"/>
      <c r="AG17" s="5" t="s">
        <v>13</v>
      </c>
      <c r="AH17" s="7">
        <v>2</v>
      </c>
      <c r="AI17" s="7">
        <v>1</v>
      </c>
      <c r="AJ17" s="8" t="s">
        <v>58</v>
      </c>
    </row>
    <row r="18" spans="1:36">
      <c r="A18" s="9"/>
      <c r="E18" s="9" t="s">
        <v>9</v>
      </c>
      <c r="F18">
        <v>0</v>
      </c>
      <c r="G18">
        <v>3</v>
      </c>
      <c r="H18" s="10" t="s">
        <v>14</v>
      </c>
      <c r="L18" s="10"/>
      <c r="M18" s="9"/>
      <c r="P18" s="10"/>
      <c r="Q18" s="9"/>
      <c r="T18" s="10"/>
      <c r="U18" s="9"/>
      <c r="X18" s="10"/>
      <c r="Y18" s="9"/>
      <c r="AB18" s="10"/>
      <c r="AC18" s="9" t="s">
        <v>13</v>
      </c>
      <c r="AD18">
        <v>1</v>
      </c>
      <c r="AE18">
        <v>2</v>
      </c>
      <c r="AF18" s="10" t="s">
        <v>40</v>
      </c>
      <c r="AG18" s="9"/>
      <c r="AJ18" s="10"/>
    </row>
    <row r="19" spans="1:36">
      <c r="A19" s="9" t="s">
        <v>25</v>
      </c>
      <c r="B19">
        <v>1</v>
      </c>
      <c r="C19">
        <v>1</v>
      </c>
      <c r="D19" t="s">
        <v>14</v>
      </c>
      <c r="E19" s="9"/>
      <c r="H19" s="10"/>
      <c r="L19" s="10"/>
      <c r="M19" s="9"/>
      <c r="P19" s="10"/>
      <c r="Q19" s="9"/>
      <c r="T19" s="10"/>
      <c r="U19" s="9"/>
      <c r="X19" s="10"/>
      <c r="Y19" s="9"/>
      <c r="AB19" s="10"/>
      <c r="AC19" s="9"/>
      <c r="AF19" s="10"/>
      <c r="AG19" s="9" t="s">
        <v>59</v>
      </c>
      <c r="AH19">
        <v>1</v>
      </c>
      <c r="AI19">
        <v>2</v>
      </c>
      <c r="AJ19" s="10" t="s">
        <v>40</v>
      </c>
    </row>
    <row r="20" spans="1:36">
      <c r="A20" s="9"/>
      <c r="E20" s="9"/>
      <c r="H20" s="10"/>
      <c r="I20" s="9" t="s">
        <v>14</v>
      </c>
      <c r="J20">
        <v>0</v>
      </c>
      <c r="K20">
        <v>2</v>
      </c>
      <c r="L20" s="10" t="s">
        <v>37</v>
      </c>
      <c r="M20" s="9"/>
      <c r="P20" s="10"/>
      <c r="Q20" s="9" t="s">
        <v>33</v>
      </c>
      <c r="T20" s="10" t="s">
        <v>41</v>
      </c>
      <c r="U20" s="9"/>
      <c r="X20" s="10"/>
      <c r="Y20" s="9" t="s">
        <v>40</v>
      </c>
      <c r="Z20">
        <v>1</v>
      </c>
      <c r="AA20">
        <v>2</v>
      </c>
      <c r="AB20" s="10" t="s">
        <v>49</v>
      </c>
      <c r="AG20" s="9"/>
      <c r="AJ20" s="10"/>
    </row>
    <row r="21" spans="1:36">
      <c r="A21" s="9" t="s">
        <v>60</v>
      </c>
      <c r="B21">
        <v>1</v>
      </c>
      <c r="C21">
        <v>1</v>
      </c>
      <c r="D21" t="s">
        <v>18</v>
      </c>
      <c r="E21" s="9"/>
      <c r="H21" s="10"/>
      <c r="I21" s="9"/>
      <c r="L21" s="10"/>
      <c r="M21" s="9"/>
      <c r="P21" s="10"/>
      <c r="Q21" s="9"/>
      <c r="T21" s="10"/>
      <c r="U21" s="9"/>
      <c r="X21" s="10"/>
      <c r="Y21" s="9"/>
      <c r="AB21" s="10"/>
      <c r="AC21" s="9"/>
      <c r="AF21" s="10"/>
      <c r="AG21" s="9" t="s">
        <v>2</v>
      </c>
      <c r="AH21">
        <v>2</v>
      </c>
      <c r="AI21">
        <v>0</v>
      </c>
      <c r="AJ21" s="10" t="s">
        <v>24</v>
      </c>
    </row>
    <row r="22" spans="1:36">
      <c r="A22" s="9"/>
      <c r="E22" s="9" t="s">
        <v>18</v>
      </c>
      <c r="F22">
        <v>0</v>
      </c>
      <c r="G22">
        <v>1</v>
      </c>
      <c r="H22" s="10" t="s">
        <v>37</v>
      </c>
      <c r="I22" s="9"/>
      <c r="L22" s="10"/>
      <c r="M22" s="9"/>
      <c r="P22" s="10"/>
      <c r="Q22" s="9"/>
      <c r="T22" s="10"/>
      <c r="U22" s="9"/>
      <c r="X22" s="10"/>
      <c r="Y22" s="9"/>
      <c r="AB22" s="10"/>
      <c r="AC22" s="9" t="s">
        <v>49</v>
      </c>
      <c r="AD22">
        <v>3</v>
      </c>
      <c r="AE22">
        <v>2</v>
      </c>
      <c r="AF22" s="10" t="s">
        <v>2</v>
      </c>
      <c r="AG22" s="9"/>
      <c r="AJ22" s="10"/>
    </row>
    <row r="23" spans="1:36">
      <c r="A23" s="9" t="s">
        <v>37</v>
      </c>
      <c r="B23">
        <v>3</v>
      </c>
      <c r="C23">
        <v>0</v>
      </c>
      <c r="D23" t="s">
        <v>27</v>
      </c>
      <c r="E23" s="9"/>
      <c r="H23" s="10"/>
      <c r="I23" s="9"/>
      <c r="L23" s="10"/>
      <c r="M23" s="9"/>
      <c r="P23" s="10"/>
      <c r="Q23" s="9"/>
      <c r="T23" s="10"/>
      <c r="U23" s="9"/>
      <c r="X23" s="10"/>
      <c r="Y23" s="9"/>
      <c r="AB23" s="10"/>
      <c r="AC23" s="9"/>
      <c r="AF23" s="10"/>
      <c r="AG23" s="9" t="s">
        <v>49</v>
      </c>
      <c r="AH23">
        <v>2</v>
      </c>
      <c r="AI23">
        <v>1</v>
      </c>
      <c r="AJ23" s="10" t="s">
        <v>61</v>
      </c>
    </row>
    <row r="24" spans="1:36">
      <c r="A24" s="9"/>
      <c r="E24" s="9"/>
      <c r="H24" s="10"/>
      <c r="I24" s="9"/>
      <c r="L24" s="10"/>
      <c r="M24" s="9" t="s">
        <v>37</v>
      </c>
      <c r="N24">
        <v>0</v>
      </c>
      <c r="O24" s="23">
        <v>2</v>
      </c>
      <c r="P24" s="10" t="s">
        <v>33</v>
      </c>
      <c r="Q24" s="9"/>
      <c r="T24" s="10"/>
      <c r="U24" s="9" t="s">
        <v>49</v>
      </c>
      <c r="V24">
        <v>1</v>
      </c>
      <c r="W24" s="19">
        <v>2</v>
      </c>
      <c r="X24" s="10" t="s">
        <v>41</v>
      </c>
      <c r="Y24" s="9"/>
      <c r="AB24" s="10"/>
      <c r="AC24" s="9"/>
      <c r="AF24" s="10"/>
      <c r="AG24" s="9"/>
      <c r="AJ24" s="10"/>
    </row>
    <row r="25" spans="1:36">
      <c r="A25" s="9" t="s">
        <v>29</v>
      </c>
      <c r="B25">
        <v>3</v>
      </c>
      <c r="C25">
        <v>2</v>
      </c>
      <c r="D25" t="s">
        <v>38</v>
      </c>
      <c r="E25" s="9"/>
      <c r="H25" s="10"/>
      <c r="I25" s="9"/>
      <c r="L25" s="10"/>
      <c r="M25" s="9"/>
      <c r="P25" s="10"/>
      <c r="Q25" s="9"/>
      <c r="T25" s="10"/>
      <c r="U25" s="9"/>
      <c r="X25" s="10"/>
      <c r="Y25" s="9"/>
      <c r="AB25" s="10"/>
      <c r="AC25" s="9"/>
      <c r="AF25" s="10"/>
      <c r="AG25" s="9" t="s">
        <v>62</v>
      </c>
      <c r="AH25">
        <v>2</v>
      </c>
      <c r="AI25">
        <v>0</v>
      </c>
      <c r="AJ25" s="10" t="s">
        <v>42</v>
      </c>
    </row>
    <row r="26" spans="1:36">
      <c r="A26" s="9"/>
      <c r="E26" s="9" t="s">
        <v>29</v>
      </c>
      <c r="F26">
        <v>4</v>
      </c>
      <c r="G26">
        <v>1</v>
      </c>
      <c r="H26" s="10" t="s">
        <v>17</v>
      </c>
      <c r="I26" s="9"/>
      <c r="L26" s="10"/>
      <c r="M26" s="9"/>
      <c r="P26" s="10"/>
      <c r="Q26" s="9"/>
      <c r="T26" s="10"/>
      <c r="U26" s="9"/>
      <c r="X26" s="10"/>
      <c r="Y26" s="9"/>
      <c r="AB26" s="10"/>
      <c r="AC26" s="9" t="s">
        <v>62</v>
      </c>
      <c r="AD26">
        <v>0</v>
      </c>
      <c r="AE26">
        <v>0</v>
      </c>
      <c r="AF26" s="10" t="s">
        <v>48</v>
      </c>
      <c r="AG26" s="9"/>
      <c r="AJ26" s="10"/>
    </row>
    <row r="27" spans="1:36">
      <c r="A27" s="9" t="s">
        <v>17</v>
      </c>
      <c r="B27">
        <v>2</v>
      </c>
      <c r="C27">
        <v>0</v>
      </c>
      <c r="D27" t="s">
        <v>63</v>
      </c>
      <c r="E27" s="9"/>
      <c r="H27" s="10"/>
      <c r="I27" s="9"/>
      <c r="L27" s="10"/>
      <c r="M27" s="9"/>
      <c r="P27" s="10"/>
      <c r="Q27" s="9"/>
      <c r="T27" s="10"/>
      <c r="U27" s="9"/>
      <c r="X27" s="10"/>
      <c r="Y27" s="9"/>
      <c r="AB27" s="10"/>
      <c r="AC27" s="9"/>
      <c r="AF27" s="10"/>
      <c r="AG27" s="9" t="s">
        <v>48</v>
      </c>
      <c r="AH27">
        <v>1</v>
      </c>
      <c r="AI27">
        <v>0</v>
      </c>
      <c r="AJ27" s="10" t="s">
        <v>51</v>
      </c>
    </row>
    <row r="28" spans="1:36">
      <c r="A28" s="9"/>
      <c r="E28" s="9"/>
      <c r="H28" s="10"/>
      <c r="I28" s="9" t="s">
        <v>29</v>
      </c>
      <c r="J28">
        <v>1</v>
      </c>
      <c r="K28" s="23">
        <v>2</v>
      </c>
      <c r="L28" s="10" t="s">
        <v>33</v>
      </c>
      <c r="M28" s="9"/>
      <c r="P28" s="10"/>
      <c r="Q28" s="9" t="s">
        <v>37</v>
      </c>
      <c r="T28" s="10" t="s">
        <v>49</v>
      </c>
      <c r="U28" s="9"/>
      <c r="X28" s="10"/>
      <c r="Y28" s="9" t="s">
        <v>62</v>
      </c>
      <c r="Z28">
        <v>1</v>
      </c>
      <c r="AA28" s="19">
        <v>3</v>
      </c>
      <c r="AB28" s="10" t="s">
        <v>41</v>
      </c>
      <c r="AC28" s="9"/>
      <c r="AF28" s="10"/>
      <c r="AG28" s="9"/>
      <c r="AJ28" s="10"/>
    </row>
    <row r="29" spans="1:36">
      <c r="A29" s="9" t="s">
        <v>33</v>
      </c>
      <c r="B29" s="23">
        <v>3</v>
      </c>
      <c r="C29">
        <v>0</v>
      </c>
      <c r="D29" t="s">
        <v>43</v>
      </c>
      <c r="E29" s="9"/>
      <c r="H29" s="10"/>
      <c r="L29" s="10"/>
      <c r="M29" s="9"/>
      <c r="P29" s="10"/>
      <c r="Q29" s="9"/>
      <c r="T29" s="10"/>
      <c r="U29" s="9"/>
      <c r="X29" s="10"/>
      <c r="Y29" s="9"/>
      <c r="AB29" s="10"/>
      <c r="AC29" s="9"/>
      <c r="AF29" s="10"/>
      <c r="AG29" s="9" t="s">
        <v>19</v>
      </c>
      <c r="AH29">
        <v>1</v>
      </c>
      <c r="AI29">
        <v>1</v>
      </c>
      <c r="AJ29" s="10" t="s">
        <v>30</v>
      </c>
    </row>
    <row r="30" spans="1:36">
      <c r="A30" s="9"/>
      <c r="E30" s="9" t="s">
        <v>33</v>
      </c>
      <c r="F30" s="23">
        <v>1</v>
      </c>
      <c r="G30">
        <v>0</v>
      </c>
      <c r="H30" s="10" t="s">
        <v>45</v>
      </c>
      <c r="L30" s="10"/>
      <c r="M30" s="9"/>
      <c r="P30" s="10"/>
      <c r="Q30" s="9"/>
      <c r="T30" s="10"/>
      <c r="U30" s="9"/>
      <c r="X30" s="10"/>
      <c r="Y30" s="9"/>
      <c r="AB30" s="10"/>
      <c r="AC30" s="9" t="s">
        <v>30</v>
      </c>
      <c r="AD30">
        <v>2</v>
      </c>
      <c r="AE30" s="19">
        <v>3</v>
      </c>
      <c r="AF30" s="10" t="s">
        <v>41</v>
      </c>
      <c r="AG30" s="9"/>
      <c r="AJ30" s="10"/>
    </row>
    <row r="31" spans="1:36" ht="15" thickBot="1">
      <c r="A31" s="9" t="s">
        <v>45</v>
      </c>
      <c r="B31">
        <v>2</v>
      </c>
      <c r="C31">
        <v>1</v>
      </c>
      <c r="D31" t="s">
        <v>50</v>
      </c>
      <c r="E31" s="9"/>
      <c r="H31" s="10"/>
      <c r="L31" s="10"/>
      <c r="M31" s="9"/>
      <c r="P31" s="10"/>
      <c r="Q31" s="9"/>
      <c r="T31" s="10"/>
      <c r="U31" s="9"/>
      <c r="X31" s="10"/>
      <c r="Y31" s="9"/>
      <c r="AB31" s="10"/>
      <c r="AC31" s="9"/>
      <c r="AF31" s="10"/>
      <c r="AG31" s="9" t="s">
        <v>41</v>
      </c>
      <c r="AH31" s="19">
        <v>3</v>
      </c>
      <c r="AI31">
        <v>2</v>
      </c>
      <c r="AJ31" s="10" t="s">
        <v>64</v>
      </c>
    </row>
    <row r="32" spans="1:36">
      <c r="A32" s="5" t="s">
        <v>3</v>
      </c>
      <c r="B32" s="7">
        <v>1579.0718088439971</v>
      </c>
      <c r="C32" s="7">
        <v>1756.7852075226247</v>
      </c>
      <c r="D32" s="7" t="s">
        <v>9</v>
      </c>
      <c r="E32" s="5"/>
      <c r="F32" s="7"/>
      <c r="G32" s="7"/>
      <c r="H32" s="8"/>
      <c r="I32" s="7"/>
      <c r="J32" s="7"/>
      <c r="K32" s="7"/>
      <c r="L32" s="8"/>
      <c r="M32" s="5"/>
      <c r="N32" s="7"/>
      <c r="O32" s="7"/>
      <c r="P32" s="8"/>
      <c r="Q32" s="5"/>
      <c r="R32" s="7"/>
      <c r="S32" s="7"/>
      <c r="T32" s="8"/>
      <c r="U32" s="5"/>
      <c r="V32" s="7"/>
      <c r="W32" s="7"/>
      <c r="X32" s="8"/>
      <c r="Y32" s="5"/>
      <c r="Z32" s="7"/>
      <c r="AA32" s="7"/>
      <c r="AB32" s="8"/>
      <c r="AC32" s="5"/>
      <c r="AD32" s="7"/>
      <c r="AE32" s="7"/>
      <c r="AF32" s="8"/>
      <c r="AG32" s="5" t="s">
        <v>13</v>
      </c>
      <c r="AH32" s="7">
        <v>2008.8275447825429</v>
      </c>
      <c r="AI32" s="7">
        <v>1908.8729481555947</v>
      </c>
      <c r="AJ32" s="8" t="s">
        <v>58</v>
      </c>
    </row>
    <row r="33" spans="1:36">
      <c r="A33" s="9"/>
      <c r="E33" s="9" t="s">
        <v>9</v>
      </c>
      <c r="F33">
        <f>C32+60*+IF(ABS(B17-C17)&lt;=1,1,IF(ABS(B17-C17)=2,1.5,(11+ABS(B17-C17))/8))*(IF(-B17+C17&gt;0,1,IF(-B17+C17=0,0.5,0))-C2)</f>
        <v>1772.6518079657774</v>
      </c>
      <c r="G33">
        <f>C34+60*+IF(ABS(B19-C19)&lt;=1,1,IF(ABS(B19-C19)=2,1.5,(11+ABS(B19-C19))/8))*(IF(-B19+C19&gt;0,1,IF(-B19+C19=0,0.5,0))-C4)</f>
        <v>1885.9164592809705</v>
      </c>
      <c r="H33" s="10" t="s">
        <v>14</v>
      </c>
      <c r="L33" s="10"/>
      <c r="M33" s="9"/>
      <c r="P33" s="10"/>
      <c r="Q33" s="9"/>
      <c r="T33" s="10"/>
      <c r="U33" s="9"/>
      <c r="X33" s="10"/>
      <c r="Y33" s="9"/>
      <c r="AB33" s="10"/>
      <c r="AC33" s="9" t="s">
        <v>13</v>
      </c>
      <c r="AD33">
        <f>AH32+60*+IF(ABS(AH17-AI17)&lt;=1,1,IF(ABS(AH17-AI17)=2,1.5,(11+ABS(AH17-AI17))/8))*(IF(AH17-AI17&gt;0,1,IF(-AH17+AI17=0,0.5,0))-AH2)</f>
        <v>2030.4272577208283</v>
      </c>
      <c r="AE33">
        <f>AI34+60*+IF(ABS(AH19-AI19)&lt;=1,1,IF(ABS(AH19-AI19)=2,1.5,(11+ABS(AH19-AI19))/8))*(IF(ABS(AH19-AI19)&gt;0,1,IF(ABS(-AH19+AI19)=0,0.5,0))-AI4)</f>
        <v>1928.6961144956422</v>
      </c>
      <c r="AF33" s="10" t="s">
        <v>40</v>
      </c>
      <c r="AG33" s="9"/>
      <c r="AJ33" s="10"/>
    </row>
    <row r="34" spans="1:36">
      <c r="A34" s="9" t="s">
        <v>25</v>
      </c>
      <c r="B34">
        <v>1977.6767066879236</v>
      </c>
      <c r="C34">
        <v>1877.4983709735191</v>
      </c>
      <c r="D34" t="s">
        <v>14</v>
      </c>
      <c r="E34" s="9"/>
      <c r="H34" s="10"/>
      <c r="L34" s="10"/>
      <c r="M34" s="9"/>
      <c r="P34" s="10"/>
      <c r="Q34" s="9"/>
      <c r="T34" s="10"/>
      <c r="U34" s="9"/>
      <c r="X34" s="10"/>
      <c r="Y34" s="9"/>
      <c r="AB34" s="10"/>
      <c r="AC34" s="9"/>
      <c r="AF34" s="10"/>
      <c r="AG34" s="9" t="s">
        <v>59</v>
      </c>
      <c r="AH34">
        <v>1743.7524948785062</v>
      </c>
      <c r="AI34">
        <v>1912.1991830038019</v>
      </c>
      <c r="AJ34" s="10" t="s">
        <v>40</v>
      </c>
    </row>
    <row r="35" spans="1:36">
      <c r="A35" s="9"/>
      <c r="E35" s="9"/>
      <c r="H35" s="10"/>
      <c r="I35" s="9" t="s">
        <v>14</v>
      </c>
      <c r="J35">
        <f>G33+60*+IF(ABS(F18-G18)&lt;=1,1,IF(ABS(F18-G18)=2,1.5,(11+ABS(F18-G18))/8))*(IF(ABS(F18-G18)&gt;0,1,IF(ABS(F18-G18)=0,0.5,0))-G3)</f>
        <v>1921.8829640139411</v>
      </c>
      <c r="K35">
        <f>G37+60*+IF(ABS(F22-G22)&lt;=1,1,IF(ABS(F22-G22)=2,1.5,(11+ABS(F22-G22))/8))*(IF(ABS(F22-G22)&gt;0,1,IF(ABS(F22-G22)=0,0.5,0))-G7)</f>
        <v>2141.490776511127</v>
      </c>
      <c r="L35" s="10" t="s">
        <v>37</v>
      </c>
      <c r="M35" s="9"/>
      <c r="P35" s="10"/>
      <c r="Q35" s="9" t="s">
        <v>33</v>
      </c>
      <c r="R35" s="23">
        <f>O39+60*+IF(ABS(N24-O24)&lt;=1,1,IF(ABS(N24-O24)=2,1.5,(11+ABS(N24-O24))/8))*(IF(ABS(N24-O24)&gt;0,1,IF(ABS(N24-O24)=0,0.5,0))-O9)</f>
        <v>2230.9080804877153</v>
      </c>
      <c r="S35" s="19">
        <f>W39+60*+IF(ABS(V24-W24)&lt;=1,1,IF(ABS(V24-W24)=2,1.5,(11+ABS(V24-W24))/8))*(IF(ABS(V24-W24)&gt;0,1,IF(ABS(V24-W24)=0,0.5,0))-W9)</f>
        <v>2173.8113615707753</v>
      </c>
      <c r="T35" s="10" t="s">
        <v>41</v>
      </c>
      <c r="U35" s="9"/>
      <c r="X35" s="10"/>
      <c r="Y35" s="9" t="s">
        <v>40</v>
      </c>
      <c r="Z35">
        <f>AE33+60*+IF(ABS(AD18-AE18)&lt;=1,1,IF(ABS(AD18-AE18)=2,1.5,(11+ABS(AD18-AE18))/8))*(IF(ABS(AD18-AE18)&gt;0,1,IF(ABS(AD18-AE18)=0,0.5,0))-AE3)</f>
        <v>1967.2375702371721</v>
      </c>
      <c r="AA35">
        <f>AD37+60*+IF(ABS(AD22-AE22)&lt;=1,1,IF(ABS(AD22-AE22)=2,1.5,(11+ABS(AD22-AE22))/8))*(IF(ABS(AD22-AE22)&gt;0,1,IF(ABS(-AD22+AE22)=0,0.5,0))-AD7)</f>
        <v>2066.4055867862853</v>
      </c>
      <c r="AB35" s="10" t="s">
        <v>49</v>
      </c>
      <c r="AG35" s="9"/>
      <c r="AJ35" s="10"/>
    </row>
    <row r="36" spans="1:36">
      <c r="A36" s="9" t="s">
        <v>60</v>
      </c>
      <c r="B36">
        <v>1915.9653331517252</v>
      </c>
      <c r="C36">
        <v>1808.2622092053271</v>
      </c>
      <c r="D36" t="s">
        <v>18</v>
      </c>
      <c r="E36" s="9"/>
      <c r="H36" s="10"/>
      <c r="I36" s="9"/>
      <c r="L36" s="10"/>
      <c r="M36" s="9"/>
      <c r="P36" s="10"/>
      <c r="Q36" s="9"/>
      <c r="T36" s="10"/>
      <c r="U36" s="9"/>
      <c r="X36" s="10"/>
      <c r="Y36" s="9"/>
      <c r="AB36" s="10"/>
      <c r="AC36" s="9"/>
      <c r="AF36" s="10"/>
      <c r="AG36" s="9" t="s">
        <v>2</v>
      </c>
      <c r="AH36">
        <v>1918.2853067037456</v>
      </c>
      <c r="AI36">
        <v>1901.3714098365931</v>
      </c>
      <c r="AJ36" s="10" t="s">
        <v>24</v>
      </c>
    </row>
    <row r="37" spans="1:36">
      <c r="A37" s="9"/>
      <c r="E37" s="9" t="s">
        <v>18</v>
      </c>
      <c r="F37">
        <f>C36+60*+IF(ABS(B21-C21)&lt;=1,1,IF(ABS(B21-C21)=2,1.5,(11+ABS(B21-C21))/8))*(IF(-B21+C21&gt;0,1,IF(-B21+C21=0,0.5,0))-C6)</f>
        <v>1817.2751722744042</v>
      </c>
      <c r="G37">
        <f>B38+60*+IF(ABS(B23-C23)&lt;=1,1,IF(ABS(B23-C23)=2,1.5,(11+ABS(B23-C23))/8))*(IF(ABS(-B23+C23)&gt;0,1,IF(ABS(-B23+C23)=0,0.5,0))-B8)</f>
        <v>2133.1110368024774</v>
      </c>
      <c r="H37" s="10" t="s">
        <v>37</v>
      </c>
      <c r="I37" s="9"/>
      <c r="L37" s="10"/>
      <c r="M37" s="9"/>
      <c r="P37" s="10"/>
      <c r="Q37" s="9"/>
      <c r="T37" s="10"/>
      <c r="U37" s="9"/>
      <c r="X37" s="10"/>
      <c r="Y37" s="9"/>
      <c r="AB37" s="10"/>
      <c r="AC37" s="9" t="s">
        <v>49</v>
      </c>
      <c r="AD37">
        <f>AH38+60*+IF(ABS(AH23-AI23)&lt;=1,1,IF(ABS(AH23-AI23)=2,1.5,(11+ABS(AH23-AI23))/8))*(IF(ABS(AH23-AI23)&gt;0,1,IF(ABS(AH23-AI23)=0,0.5,0))-AH8)</f>
        <v>2043.3806604741319</v>
      </c>
      <c r="AE37">
        <f>AH36+60*+IF(ABS(AH21-AI21)&lt;=1,1,IF(ABS(AH21-AI21)=2,1.5,(11+ABS(AH21-AI21))/8))*(IF(ABS(AH21-AI21)&gt;0,1,IF(ABS(-AH21+AI21)=0,0.5,0))-AH6)</f>
        <v>1961.0963407935119</v>
      </c>
      <c r="AF37" s="10" t="s">
        <v>2</v>
      </c>
      <c r="AG37" s="9"/>
      <c r="AJ37" s="10"/>
    </row>
    <row r="38" spans="1:36">
      <c r="A38" s="9" t="s">
        <v>37</v>
      </c>
      <c r="B38">
        <v>2122.5692586180039</v>
      </c>
      <c r="C38">
        <v>1741.6389018394823</v>
      </c>
      <c r="D38" t="s">
        <v>27</v>
      </c>
      <c r="E38" s="9"/>
      <c r="H38" s="10"/>
      <c r="I38" s="9"/>
      <c r="L38" s="10"/>
      <c r="M38" s="9"/>
      <c r="P38" s="10"/>
      <c r="Q38" s="9"/>
      <c r="T38" s="10"/>
      <c r="U38" s="9"/>
      <c r="X38" s="10"/>
      <c r="Y38" s="9"/>
      <c r="AB38" s="10"/>
      <c r="AC38" s="9"/>
      <c r="AF38" s="10"/>
      <c r="AG38" s="9" t="s">
        <v>49</v>
      </c>
      <c r="AH38">
        <v>2035.7086130792134</v>
      </c>
      <c r="AI38">
        <v>1702.1796267999073</v>
      </c>
      <c r="AJ38" s="10" t="s">
        <v>61</v>
      </c>
    </row>
    <row r="39" spans="1:36">
      <c r="A39" s="9"/>
      <c r="E39" s="9"/>
      <c r="H39" s="10"/>
      <c r="I39" s="9"/>
      <c r="L39" s="10"/>
      <c r="M39" s="9" t="s">
        <v>37</v>
      </c>
      <c r="N39">
        <f>K35+60*+IF(ABS(J20-K20)&lt;=1,1,IF(ABS(J20-K20)=2,1.5,(11+ABS(J20-K20))/8))*(IF(ABS(J20-K20)&gt;0,1,IF(ABS(J20-K20)=0,0.5,0))-K5)</f>
        <v>2161.3139860129904</v>
      </c>
      <c r="O39" s="23">
        <f>K43+60*+IF(ABS(J28-K28)&lt;=1,1,IF(ABS(J28-K28)=2,1.5,(11+ABS(J28-K28))/8))*(IF(ABS(J28-K28)&gt;0,1,IF(ABS(J28-K28)=0,0.5,0))-K13)</f>
        <v>2189.5582521063379</v>
      </c>
      <c r="P39" s="10" t="s">
        <v>33</v>
      </c>
      <c r="Q39" s="9"/>
      <c r="T39" s="10"/>
      <c r="U39" s="9" t="s">
        <v>49</v>
      </c>
      <c r="V39">
        <f>AA35+60*+IF(ABS(Z20-AA20)&lt;=1,1,IF(ABS(Z20-AA20)=2,1.5,(11+ABS(Z20-AA20))/8))*(IF(ABS(Z20-AA20)&gt;0,1,IF(ABS(Z20-AA20)=0,0.5,0))-AA5)</f>
        <v>2088.0679329096192</v>
      </c>
      <c r="W39" s="19">
        <f>AA43+60*+IF(ABS(Z28-AA28)&lt;=1,1,IF(ABS(Z28-AA28)=2,1.5,(11+ABS(Z28-AA28))/8))*(IF(ABS(Z28-AA28)&gt;0,1,IF(ABS(-Z28+AA28)=0,0.5,0))-AA13)</f>
        <v>2149.0211449004673</v>
      </c>
      <c r="X39" s="10" t="s">
        <v>41</v>
      </c>
      <c r="Y39" s="9"/>
      <c r="AB39" s="10"/>
      <c r="AC39" s="9"/>
      <c r="AF39" s="10"/>
      <c r="AG39" s="9"/>
      <c r="AJ39" s="10"/>
    </row>
    <row r="40" spans="1:36">
      <c r="A40" s="9" t="s">
        <v>29</v>
      </c>
      <c r="B40">
        <v>1882.6220076698462</v>
      </c>
      <c r="C40">
        <v>1846.9978268146551</v>
      </c>
      <c r="D40" t="s">
        <v>38</v>
      </c>
      <c r="E40" s="9"/>
      <c r="H40" s="10"/>
      <c r="I40" s="9"/>
      <c r="L40" s="10"/>
      <c r="M40" s="9"/>
      <c r="P40" s="10"/>
      <c r="Q40" s="9"/>
      <c r="T40" s="10"/>
      <c r="U40" s="9"/>
      <c r="X40" s="10"/>
      <c r="Y40" s="9"/>
      <c r="AB40" s="10"/>
      <c r="AC40" s="9"/>
      <c r="AF40" s="10"/>
      <c r="AG40" s="9" t="s">
        <v>62</v>
      </c>
      <c r="AH40">
        <v>1917.4937468753112</v>
      </c>
      <c r="AI40">
        <v>1776.0293102294445</v>
      </c>
      <c r="AJ40" s="10" t="s">
        <v>42</v>
      </c>
    </row>
    <row r="41" spans="1:36">
      <c r="A41" s="9"/>
      <c r="E41" s="9" t="s">
        <v>29</v>
      </c>
      <c r="F41">
        <f>B40+60*+IF(ABS(B25-C25)&lt;=1,1,IF(ABS(B25-C25)=2,1.5,(11+ABS(B25-C25))/8))*(IF(ABS(-B25+C25)&gt;0,1,IF(ABS(-B25+C25)=0,0.5,0))-B10)</f>
        <v>1909.5567033134478</v>
      </c>
      <c r="G41">
        <f>B42+60*+IF(ABS(B27-C27)&lt;=1,1,IF(ABS(B27-C27)=2,1.5,(11+ABS(B27-C27))/8))*(IF(ABS(-B27+C27)&gt;0,1,IF(ABS(-B27+C27)=0,0.5,0))-B12)</f>
        <v>1841.0843636690133</v>
      </c>
      <c r="H41" s="10" t="s">
        <v>17</v>
      </c>
      <c r="I41" s="9"/>
      <c r="L41" s="10"/>
      <c r="M41" s="9"/>
      <c r="P41" s="10"/>
      <c r="Q41" s="9"/>
      <c r="T41" s="10"/>
      <c r="U41" s="9"/>
      <c r="X41" s="10"/>
      <c r="Y41" s="9"/>
      <c r="AB41" s="10"/>
      <c r="AC41" s="9" t="s">
        <v>62</v>
      </c>
      <c r="AD41">
        <f>AH40+60*+IF(ABS(AH25-AI25)&lt;=1,1,IF(ABS(AH25-AI25)=2,1.5,(11+ABS(AH25-AI25))/8))*(IF(ABS(AH25-AI25)&gt;0,1,IF(ABS(AH25-AI25)=0,0.5,0))-AH10)</f>
        <v>1945.1208268404118</v>
      </c>
      <c r="AE41">
        <f>AH42+60*+IF(ABS(AH27-AI27)&lt;=1,1,IF(ABS(AH27-AI27)=2,1.5,(11+ABS(AH27-AI27))/8))*(IF(ABS(AH27-AI27)&gt;0,1,IF(ABS(-AH27+AI27)=0,0.5,0))-AH12)</f>
        <v>1982.4517384800213</v>
      </c>
      <c r="AF41" s="10" t="s">
        <v>48</v>
      </c>
      <c r="AG41" s="9"/>
      <c r="AJ41" s="10"/>
    </row>
    <row r="42" spans="1:36">
      <c r="A42" s="9" t="s">
        <v>17</v>
      </c>
      <c r="B42">
        <v>1819.8155247988304</v>
      </c>
      <c r="C42">
        <v>1616.051564902177</v>
      </c>
      <c r="D42" t="s">
        <v>63</v>
      </c>
      <c r="E42" s="9"/>
      <c r="H42" s="10"/>
      <c r="I42" s="9"/>
      <c r="L42" s="10"/>
      <c r="M42" s="9"/>
      <c r="P42" s="10"/>
      <c r="Q42" s="9"/>
      <c r="T42" s="10"/>
      <c r="U42" s="9"/>
      <c r="X42" s="10"/>
      <c r="Y42" s="9"/>
      <c r="AB42" s="10"/>
      <c r="AC42" s="9"/>
      <c r="AF42" s="10"/>
      <c r="AG42" s="9" t="s">
        <v>48</v>
      </c>
      <c r="AH42">
        <v>1977.0571798728859</v>
      </c>
      <c r="AI42">
        <v>1574.9451773502881</v>
      </c>
      <c r="AJ42" s="10" t="s">
        <v>51</v>
      </c>
    </row>
    <row r="43" spans="1:36">
      <c r="A43" s="9"/>
      <c r="E43" s="9"/>
      <c r="H43" s="10"/>
      <c r="I43" s="9" t="s">
        <v>29</v>
      </c>
      <c r="J43">
        <f>F41+60*+IF(ABS(F26-G26)&lt;=1,1,IF(ABS(F26-G26)=2,1.5,(11+ABS(F26-G26))/8))*(IF(ABS(F26-G26)&gt;0,1,IF(ABS(F26-G26)=0,0.5,0))-F11)</f>
        <v>1951.8419500385558</v>
      </c>
      <c r="K43" s="23">
        <f>F45+60*+IF(ABS(F30-G30)&lt;=1,1,IF(ABS(F30-G30)=2,1.5,(11+ABS(F30-G30))/8))*(IF(ABS(F30-G30)&gt;0,1,IF(ABS(F30-G30)=0,0.5,0))-F15)</f>
        <v>2176.6485817876091</v>
      </c>
      <c r="L43" s="10" t="s">
        <v>33</v>
      </c>
      <c r="M43" s="9"/>
      <c r="P43" s="10"/>
      <c r="Q43" s="9" t="s">
        <v>37</v>
      </c>
      <c r="R43">
        <f>N39+60*+IF(ABS(N24-O24)&lt;=1,1,IF(ABS(N24-O24)=2,1.5,(11+ABS(N24-O24))/8))*(IF((N24-O24)&gt;0,1,IF((N24-O24)=0,0.5,0))-N9)</f>
        <v>2119.964157631613</v>
      </c>
      <c r="S43">
        <f>V39+60*+IF(ABS(V24-W24)&lt;=1,1,IF(ABS(V24-W24)=2,1.5,(11+ABS(V24-W24))/8))*(IF((V24-W24)&gt;0,1,IF((V24-W24)=0,0.5,0))-V9)</f>
        <v>2063.2777162393113</v>
      </c>
      <c r="T43" s="10" t="s">
        <v>49</v>
      </c>
      <c r="U43" s="9"/>
      <c r="X43" s="10"/>
      <c r="Y43" s="9" t="s">
        <v>62</v>
      </c>
      <c r="Z43">
        <f>AD41+60*+IF(ABS(AD26-AE26)&lt;=1,1,IF(ABS(AD26-AE26)=2,1.5,(11+ABS(AD26-AE26))/8))*(IF(ABS(AD26-AE26)&gt;0,1,IF(ABS(AD26-AE26)=0,0.5,0))-AD11)</f>
        <v>1948.3318892784264</v>
      </c>
      <c r="AA43">
        <f>AE45+60*+IF(ABS(AD30-AE30)&lt;=1,1,IF(ABS(AD30-AE30)=2,1.5,(11+ABS(AD30-AE30))/8))*(IF(ABS(AD30-AE30)&gt;0,1,IF(ABS(-AD30+AE30)=0,0.5,0))-AE15)</f>
        <v>2125.1287685177563</v>
      </c>
      <c r="AB43" s="10" t="s">
        <v>41</v>
      </c>
      <c r="AC43" s="9"/>
      <c r="AF43" s="10"/>
      <c r="AG43" s="9"/>
      <c r="AJ43" s="10"/>
    </row>
    <row r="44" spans="1:36">
      <c r="A44" s="9" t="s">
        <v>33</v>
      </c>
      <c r="B44" s="23">
        <v>2143.7605984832735</v>
      </c>
      <c r="C44">
        <v>1834.9687464309247</v>
      </c>
      <c r="D44" t="s">
        <v>43</v>
      </c>
      <c r="E44" s="9"/>
      <c r="H44" s="10"/>
      <c r="L44" s="10"/>
      <c r="M44" s="9"/>
      <c r="P44" s="10"/>
      <c r="Q44" s="9"/>
      <c r="T44" s="10"/>
      <c r="U44" s="9"/>
      <c r="X44" s="10"/>
      <c r="Y44" s="9"/>
      <c r="AB44" s="10"/>
      <c r="AC44" s="9"/>
      <c r="AF44" s="10"/>
      <c r="AG44" s="9" t="s">
        <v>19</v>
      </c>
      <c r="AH44">
        <v>1781.3254261056338</v>
      </c>
      <c r="AI44">
        <v>1736.8573366893602</v>
      </c>
      <c r="AJ44" s="10" t="s">
        <v>30</v>
      </c>
    </row>
    <row r="45" spans="1:36">
      <c r="A45" s="9"/>
      <c r="E45" s="9" t="s">
        <v>33</v>
      </c>
      <c r="F45" s="23">
        <f>B44+60*+IF(ABS(B29-C29)&lt;=1,1,IF(ABS(B29-C29)=2,1.5,(11+ABS(B29-C29))/8))*(IF(ABS(-B29+C29)&gt;0,1,IF(ABS(-B29+C29)=0,0.5,0))-B14)</f>
        <v>2158.944236151794</v>
      </c>
      <c r="G45">
        <f>B46+60*+IF(ABS(B31-C31)&lt;=1,1,IF(ABS(B31-C31)=2,1.5,(11+ABS(B31-C31))/8))*(IF(ABS(-B31+C31)&gt;0,1,IF(ABS(-B31+C31)=0,0.5,0))-B16)</f>
        <v>2007.6578886245832</v>
      </c>
      <c r="H45" s="10" t="s">
        <v>45</v>
      </c>
      <c r="L45" s="10"/>
      <c r="M45" s="9"/>
      <c r="P45" s="10"/>
      <c r="Q45" s="9"/>
      <c r="T45" s="10"/>
      <c r="U45" s="9"/>
      <c r="X45" s="10"/>
      <c r="Y45" s="9"/>
      <c r="AB45" s="10"/>
      <c r="AC45" s="9" t="s">
        <v>30</v>
      </c>
      <c r="AD45">
        <f>AI44+60*+IF(ABS(AH29-AI29)&lt;=1,1,IF(ABS(AH29-AI29)=2,1.5,(11+ABS(AH29-AI29))/8))*(IF(ABS(AH29-AI29)&gt;0,1,IF(ABS(AH29-AI29)=0,0.5,0))-AI14)</f>
        <v>1740.6761903246447</v>
      </c>
      <c r="AE45" s="19">
        <f>AH46+60*+IF(ABS(AH31-AI31)&lt;=1,1,IF(ABS(AH31-AI31)=2,1.5,(11+ABS(AH31-AI31))/8))*(IF(ABS(AH31-AI31)&gt;0,1,IF(ABS(-AH31+AI31)=0,0.5,0))-AH16)</f>
        <v>2119.0238485413979</v>
      </c>
      <c r="AF45" s="10" t="s">
        <v>41</v>
      </c>
      <c r="AG45" s="9"/>
      <c r="AJ45" s="10"/>
    </row>
    <row r="46" spans="1:36" ht="15" thickBot="1">
      <c r="A46" s="12" t="s">
        <v>45</v>
      </c>
      <c r="B46" s="13">
        <v>1984.5743271663491</v>
      </c>
      <c r="C46" s="13">
        <v>1903.0075345742423</v>
      </c>
      <c r="D46" s="13" t="s">
        <v>50</v>
      </c>
      <c r="E46" s="12"/>
      <c r="F46" s="13"/>
      <c r="G46" s="13"/>
      <c r="H46" s="14"/>
      <c r="I46" s="13"/>
      <c r="J46" s="13"/>
      <c r="K46" s="13"/>
      <c r="L46" s="14"/>
      <c r="M46" s="12"/>
      <c r="N46" s="13"/>
      <c r="O46" s="13"/>
      <c r="P46" s="14"/>
      <c r="Q46" s="12"/>
      <c r="R46" s="13"/>
      <c r="S46" s="13"/>
      <c r="T46" s="14"/>
      <c r="U46" s="12"/>
      <c r="V46" s="13"/>
      <c r="W46" s="13"/>
      <c r="X46" s="14"/>
      <c r="Y46" s="12"/>
      <c r="Z46" s="13"/>
      <c r="AA46" s="13"/>
      <c r="AB46" s="14"/>
      <c r="AC46" s="12"/>
      <c r="AD46" s="13"/>
      <c r="AE46" s="13"/>
      <c r="AF46" s="14"/>
      <c r="AG46" s="12" t="s">
        <v>41</v>
      </c>
      <c r="AH46" s="19">
        <v>2115.7218267124695</v>
      </c>
      <c r="AI46" s="13">
        <v>1621.8067737411131</v>
      </c>
      <c r="AJ46" s="14" t="s">
        <v>64</v>
      </c>
    </row>
  </sheetData>
  <mergeCells count="9">
    <mergeCell ref="Y1:AB1"/>
    <mergeCell ref="AC1:AF1"/>
    <mergeCell ref="AG1:AJ1"/>
    <mergeCell ref="A1:D1"/>
    <mergeCell ref="E1:H1"/>
    <mergeCell ref="I1:L1"/>
    <mergeCell ref="M1:P1"/>
    <mergeCell ref="Q1:T1"/>
    <mergeCell ref="U1:X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Grupo A</vt:lpstr>
      <vt:lpstr>Grupo B</vt:lpstr>
      <vt:lpstr>Grupo C </vt:lpstr>
      <vt:lpstr>Grupo D</vt:lpstr>
      <vt:lpstr>Grupo E</vt:lpstr>
      <vt:lpstr>Grupo F</vt:lpstr>
      <vt:lpstr>Grupo G</vt:lpstr>
      <vt:lpstr>Grupo H</vt:lpstr>
      <vt:lpstr>Grupo I</vt:lpstr>
      <vt:lpstr>Grupo J</vt:lpstr>
      <vt:lpstr>Grupo K</vt:lpstr>
      <vt:lpstr>Grupo L</vt:lpstr>
      <vt:lpstr>Fase de eliminacion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Daniel López Barrientos</dc:creator>
  <cp:keywords/>
  <dc:description/>
  <cp:lastModifiedBy>Jose Daniel Lopez Barrientos</cp:lastModifiedBy>
  <cp:revision/>
  <dcterms:created xsi:type="dcterms:W3CDTF">2026-06-12T12:11:44Z</dcterms:created>
  <dcterms:modified xsi:type="dcterms:W3CDTF">2026-10-14T19:45:56Z</dcterms:modified>
  <cp:category/>
  <cp:contentStatus/>
</cp:coreProperties>
</file>