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C:\Users\daniel.lopez\Dropbox\Pepe\Investigación\Proyectos\Futbol\UNITED26\RONDA DE 2\"/>
    </mc:Choice>
  </mc:AlternateContent>
  <xr:revisionPtr revIDLastSave="0" documentId="13_ncr:1_{AAC65E3C-9BE8-470C-833F-C93DBE3A6BE0}" xr6:coauthVersionLast="36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sos" sheetId="1" r:id="rId1"/>
    <sheet name="datos" sheetId="2" r:id="rId2"/>
    <sheet name="desglose" sheetId="3" r:id="rId3"/>
    <sheet name="estadísticos descriptivos" sheetId="4" r:id="rId4"/>
    <sheet name="pruebas de bondad de ajuste" sheetId="5" r:id="rId5"/>
    <sheet name="sumario distribuciones elegidas" sheetId="6" r:id="rId6"/>
  </sheets>
  <definedNames>
    <definedName name="_xlnm._FilterDatabase" localSheetId="1" hidden="1">datos!$A$1:$M$42</definedName>
  </definedNames>
  <calcPr calcId="191029"/>
</workbook>
</file>

<file path=xl/calcChain.xml><?xml version="1.0" encoding="utf-8"?>
<calcChain xmlns="http://schemas.openxmlformats.org/spreadsheetml/2006/main">
  <c r="M40" i="2" l="1"/>
  <c r="L40" i="2"/>
  <c r="K40" i="2"/>
  <c r="S4" i="6"/>
  <c r="S5" i="6" s="1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S86" i="6" s="1"/>
  <c r="S87" i="6" s="1"/>
  <c r="S88" i="6" s="1"/>
  <c r="S89" i="6" s="1"/>
  <c r="S90" i="6" s="1"/>
  <c r="S91" i="6" s="1"/>
  <c r="S92" i="6" s="1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H4" i="6"/>
  <c r="H5" i="6" s="1"/>
  <c r="S3" i="6"/>
  <c r="L39" i="2"/>
  <c r="K39" i="2"/>
  <c r="M39" i="2"/>
  <c r="A5" i="5"/>
  <c r="D5" i="5" s="1"/>
  <c r="E4" i="5"/>
  <c r="D4" i="5"/>
  <c r="C4" i="5"/>
  <c r="B4" i="5"/>
  <c r="E7" i="4"/>
  <c r="D7" i="4"/>
  <c r="C7" i="4"/>
  <c r="B7" i="4"/>
  <c r="E6" i="4"/>
  <c r="E8" i="4" s="1"/>
  <c r="E4" i="6" s="1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2" i="4"/>
  <c r="E5" i="5" s="1"/>
  <c r="D2" i="4"/>
  <c r="C2" i="4"/>
  <c r="B2" i="4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M2" i="2"/>
  <c r="L2" i="2"/>
  <c r="K2" i="2"/>
  <c r="B2" i="6" l="1"/>
  <c r="C2" i="6"/>
  <c r="B3" i="2"/>
  <c r="E2" i="6"/>
  <c r="E3" i="6" s="1"/>
  <c r="Q4" i="5"/>
  <c r="U4" i="5" s="1"/>
  <c r="AG2" i="5"/>
  <c r="I4" i="5"/>
  <c r="M4" i="5" s="1"/>
  <c r="H6" i="6"/>
  <c r="AD1" i="5"/>
  <c r="M3" i="2"/>
  <c r="B4" i="2" s="1"/>
  <c r="AG1" i="5"/>
  <c r="H5" i="5"/>
  <c r="L5" i="5" s="1"/>
  <c r="P5" i="5"/>
  <c r="T5" i="5" s="1"/>
  <c r="D2" i="6"/>
  <c r="P4" i="5"/>
  <c r="T4" i="5" s="1"/>
  <c r="H4" i="5"/>
  <c r="L4" i="5" s="1"/>
  <c r="AF2" i="5"/>
  <c r="AF1" i="5"/>
  <c r="D8" i="4"/>
  <c r="D4" i="6" s="1"/>
  <c r="B3" i="6"/>
  <c r="B8" i="4"/>
  <c r="B4" i="6" s="1"/>
  <c r="AD2" i="5"/>
  <c r="F4" i="5"/>
  <c r="J4" i="5" s="1"/>
  <c r="N4" i="5"/>
  <c r="R4" i="5" s="1"/>
  <c r="O5" i="5"/>
  <c r="G5" i="5"/>
  <c r="C5" i="5"/>
  <c r="A6" i="5"/>
  <c r="N5" i="5"/>
  <c r="F5" i="5"/>
  <c r="B5" i="5"/>
  <c r="I5" i="5"/>
  <c r="M5" i="5" s="1"/>
  <c r="Q5" i="5"/>
  <c r="U5" i="5" s="1"/>
  <c r="C3" i="6"/>
  <c r="C8" i="4"/>
  <c r="C4" i="6" s="1"/>
  <c r="AE1" i="5"/>
  <c r="AE2" i="5"/>
  <c r="G4" i="5"/>
  <c r="K4" i="5" s="1"/>
  <c r="O4" i="5"/>
  <c r="S4" i="5" s="1"/>
  <c r="Y4" i="5" l="1"/>
  <c r="AC4" i="5" s="1"/>
  <c r="V4" i="5"/>
  <c r="H7" i="6"/>
  <c r="M4" i="2"/>
  <c r="B5" i="2" s="1"/>
  <c r="D3" i="6"/>
  <c r="X4" i="5"/>
  <c r="AB4" i="5" s="1"/>
  <c r="W4" i="5"/>
  <c r="AA4" i="5" s="1"/>
  <c r="R5" i="5"/>
  <c r="J5" i="5"/>
  <c r="A7" i="5"/>
  <c r="N6" i="5"/>
  <c r="F6" i="5"/>
  <c r="B6" i="5"/>
  <c r="Q6" i="5"/>
  <c r="I6" i="5"/>
  <c r="E6" i="5"/>
  <c r="D6" i="5"/>
  <c r="P6" i="5"/>
  <c r="G6" i="5"/>
  <c r="C6" i="5"/>
  <c r="H6" i="5"/>
  <c r="O6" i="5"/>
  <c r="S5" i="5"/>
  <c r="K5" i="5"/>
  <c r="Y5" i="5" l="1"/>
  <c r="AC5" i="5" s="1"/>
  <c r="X5" i="5"/>
  <c r="AB5" i="5" s="1"/>
  <c r="Z4" i="5"/>
  <c r="V5" i="5"/>
  <c r="H8" i="6"/>
  <c r="M5" i="2"/>
  <c r="B6" i="2" s="1"/>
  <c r="U6" i="5"/>
  <c r="M6" i="5"/>
  <c r="R6" i="5"/>
  <c r="J6" i="5"/>
  <c r="Q7" i="5"/>
  <c r="I7" i="5"/>
  <c r="E7" i="5"/>
  <c r="P7" i="5"/>
  <c r="H7" i="5"/>
  <c r="D7" i="5"/>
  <c r="O7" i="5"/>
  <c r="G7" i="5"/>
  <c r="C7" i="5"/>
  <c r="A8" i="5"/>
  <c r="N7" i="5"/>
  <c r="F7" i="5"/>
  <c r="B7" i="5"/>
  <c r="W5" i="5"/>
  <c r="X6" i="5"/>
  <c r="X7" i="5" s="1"/>
  <c r="S6" i="5"/>
  <c r="K6" i="5"/>
  <c r="T6" i="5"/>
  <c r="L6" i="5"/>
  <c r="Y6" i="5"/>
  <c r="AC6" i="5" s="1"/>
  <c r="AB6" i="5" l="1"/>
  <c r="Y7" i="5"/>
  <c r="Y8" i="5" s="1"/>
  <c r="Z5" i="5"/>
  <c r="V6" i="5"/>
  <c r="H9" i="6"/>
  <c r="M6" i="2"/>
  <c r="B7" i="2" s="1"/>
  <c r="J7" i="5"/>
  <c r="R7" i="5"/>
  <c r="X8" i="5"/>
  <c r="P8" i="5"/>
  <c r="H8" i="5"/>
  <c r="D8" i="5"/>
  <c r="O8" i="5"/>
  <c r="G8" i="5"/>
  <c r="C8" i="5"/>
  <c r="B8" i="5"/>
  <c r="A9" i="5"/>
  <c r="N8" i="5"/>
  <c r="E8" i="5"/>
  <c r="Q8" i="5"/>
  <c r="I8" i="5"/>
  <c r="F8" i="5"/>
  <c r="S7" i="5"/>
  <c r="K7" i="5"/>
  <c r="AB7" i="5"/>
  <c r="T7" i="5"/>
  <c r="L7" i="5"/>
  <c r="U7" i="5"/>
  <c r="M7" i="5"/>
  <c r="W6" i="5"/>
  <c r="AA5" i="5"/>
  <c r="AC7" i="5" l="1"/>
  <c r="V7" i="5"/>
  <c r="Z6" i="5"/>
  <c r="H10" i="6"/>
  <c r="M7" i="2"/>
  <c r="B8" i="2" s="1"/>
  <c r="U8" i="5"/>
  <c r="AC8" i="5"/>
  <c r="M8" i="5"/>
  <c r="AB8" i="5"/>
  <c r="T8" i="5"/>
  <c r="L8" i="5"/>
  <c r="W7" i="5"/>
  <c r="AA6" i="5"/>
  <c r="O9" i="5"/>
  <c r="G9" i="5"/>
  <c r="C9" i="5"/>
  <c r="A10" i="5"/>
  <c r="N9" i="5"/>
  <c r="F9" i="5"/>
  <c r="B9" i="5"/>
  <c r="E9" i="5"/>
  <c r="Q9" i="5"/>
  <c r="X9" i="5"/>
  <c r="H9" i="5"/>
  <c r="D9" i="5"/>
  <c r="Y9" i="5"/>
  <c r="I9" i="5"/>
  <c r="P9" i="5"/>
  <c r="S8" i="5"/>
  <c r="K8" i="5"/>
  <c r="R8" i="5"/>
  <c r="J8" i="5"/>
  <c r="Z7" i="5" l="1"/>
  <c r="V8" i="5"/>
  <c r="H11" i="6"/>
  <c r="M8" i="2"/>
  <c r="B9" i="2" s="1"/>
  <c r="R9" i="5"/>
  <c r="J9" i="5"/>
  <c r="A11" i="5"/>
  <c r="N10" i="5"/>
  <c r="F10" i="5"/>
  <c r="B10" i="5"/>
  <c r="Y10" i="5"/>
  <c r="Q10" i="5"/>
  <c r="I10" i="5"/>
  <c r="E10" i="5"/>
  <c r="X10" i="5"/>
  <c r="P10" i="5"/>
  <c r="H10" i="5"/>
  <c r="D10" i="5"/>
  <c r="O10" i="5"/>
  <c r="G10" i="5"/>
  <c r="C10" i="5"/>
  <c r="S9" i="5"/>
  <c r="K9" i="5"/>
  <c r="AB9" i="5"/>
  <c r="T9" i="5"/>
  <c r="L9" i="5"/>
  <c r="AC9" i="5"/>
  <c r="U9" i="5"/>
  <c r="M9" i="5"/>
  <c r="W8" i="5"/>
  <c r="AA7" i="5"/>
  <c r="V9" i="5" l="1"/>
  <c r="Z8" i="5"/>
  <c r="H12" i="6"/>
  <c r="M9" i="2"/>
  <c r="B10" i="2" s="1"/>
  <c r="AA8" i="5"/>
  <c r="W9" i="5"/>
  <c r="K10" i="5"/>
  <c r="S10" i="5"/>
  <c r="T10" i="5"/>
  <c r="AB10" i="5"/>
  <c r="L10" i="5"/>
  <c r="AC10" i="5"/>
  <c r="U10" i="5"/>
  <c r="M10" i="5"/>
  <c r="R10" i="5"/>
  <c r="J10" i="5"/>
  <c r="Y11" i="5"/>
  <c r="Q11" i="5"/>
  <c r="I11" i="5"/>
  <c r="E11" i="5"/>
  <c r="X11" i="5"/>
  <c r="P11" i="5"/>
  <c r="H11" i="5"/>
  <c r="D11" i="5"/>
  <c r="C11" i="5"/>
  <c r="G11" i="5"/>
  <c r="N11" i="5"/>
  <c r="B11" i="5"/>
  <c r="O11" i="5"/>
  <c r="A12" i="5"/>
  <c r="F11" i="5"/>
  <c r="Z9" i="5" l="1"/>
  <c r="V10" i="5"/>
  <c r="H13" i="6"/>
  <c r="M10" i="2"/>
  <c r="B11" i="2" s="1"/>
  <c r="X12" i="5"/>
  <c r="P12" i="5"/>
  <c r="H12" i="5"/>
  <c r="D12" i="5"/>
  <c r="O12" i="5"/>
  <c r="G12" i="5"/>
  <c r="C12" i="5"/>
  <c r="A13" i="5"/>
  <c r="N12" i="5"/>
  <c r="F12" i="5"/>
  <c r="Y12" i="5"/>
  <c r="I12" i="5"/>
  <c r="E12" i="5"/>
  <c r="B12" i="5"/>
  <c r="Q12" i="5"/>
  <c r="AB11" i="5"/>
  <c r="T11" i="5"/>
  <c r="L11" i="5"/>
  <c r="AC11" i="5"/>
  <c r="U11" i="5"/>
  <c r="M11" i="5"/>
  <c r="AA9" i="5"/>
  <c r="W10" i="5"/>
  <c r="R11" i="5"/>
  <c r="J11" i="5"/>
  <c r="S11" i="5"/>
  <c r="K11" i="5"/>
  <c r="V11" i="5" l="1"/>
  <c r="Z10" i="5"/>
  <c r="H14" i="6"/>
  <c r="M11" i="2"/>
  <c r="B12" i="2" s="1"/>
  <c r="AA10" i="5"/>
  <c r="W11" i="5"/>
  <c r="O13" i="5"/>
  <c r="G13" i="5"/>
  <c r="C13" i="5"/>
  <c r="A14" i="5"/>
  <c r="N13" i="5"/>
  <c r="F13" i="5"/>
  <c r="B13" i="5"/>
  <c r="Y13" i="5"/>
  <c r="Q13" i="5"/>
  <c r="I13" i="5"/>
  <c r="X13" i="5"/>
  <c r="P13" i="5"/>
  <c r="H13" i="5"/>
  <c r="E13" i="5"/>
  <c r="D13" i="5"/>
  <c r="J12" i="5"/>
  <c r="R12" i="5"/>
  <c r="S12" i="5"/>
  <c r="K12" i="5"/>
  <c r="AB12" i="5"/>
  <c r="T12" i="5"/>
  <c r="L12" i="5"/>
  <c r="AC12" i="5"/>
  <c r="U12" i="5"/>
  <c r="M12" i="5"/>
  <c r="V12" i="5" l="1"/>
  <c r="Z11" i="5"/>
  <c r="H15" i="6"/>
  <c r="M12" i="2"/>
  <c r="B13" i="2" s="1"/>
  <c r="M13" i="5"/>
  <c r="AC13" i="5"/>
  <c r="U13" i="5"/>
  <c r="S13" i="5"/>
  <c r="K13" i="5"/>
  <c r="W12" i="5"/>
  <c r="AA11" i="5"/>
  <c r="AB13" i="5"/>
  <c r="L13" i="5"/>
  <c r="T13" i="5"/>
  <c r="R13" i="5"/>
  <c r="J13" i="5"/>
  <c r="A15" i="5"/>
  <c r="N14" i="5"/>
  <c r="F14" i="5"/>
  <c r="B14" i="5"/>
  <c r="Y14" i="5"/>
  <c r="Q14" i="5"/>
  <c r="I14" i="5"/>
  <c r="E14" i="5"/>
  <c r="D14" i="5"/>
  <c r="H14" i="5"/>
  <c r="O14" i="5"/>
  <c r="C14" i="5"/>
  <c r="X14" i="5"/>
  <c r="P14" i="5"/>
  <c r="G14" i="5"/>
  <c r="Z12" i="5" l="1"/>
  <c r="V13" i="5"/>
  <c r="H16" i="6"/>
  <c r="M13" i="2"/>
  <c r="B14" i="2" s="1"/>
  <c r="AB14" i="5"/>
  <c r="T14" i="5"/>
  <c r="L14" i="5"/>
  <c r="S14" i="5"/>
  <c r="K14" i="5"/>
  <c r="AC14" i="5"/>
  <c r="U14" i="5"/>
  <c r="M14" i="5"/>
  <c r="R14" i="5"/>
  <c r="J14" i="5"/>
  <c r="Y15" i="5"/>
  <c r="Q15" i="5"/>
  <c r="I15" i="5"/>
  <c r="E15" i="5"/>
  <c r="X15" i="5"/>
  <c r="P15" i="5"/>
  <c r="H15" i="5"/>
  <c r="D15" i="5"/>
  <c r="O15" i="5"/>
  <c r="G15" i="5"/>
  <c r="C15" i="5"/>
  <c r="B15" i="5"/>
  <c r="A16" i="5"/>
  <c r="N15" i="5"/>
  <c r="F15" i="5"/>
  <c r="W13" i="5"/>
  <c r="AA12" i="5"/>
  <c r="Z13" i="5" l="1"/>
  <c r="V14" i="5"/>
  <c r="H17" i="6"/>
  <c r="M14" i="2"/>
  <c r="B15" i="2" s="1"/>
  <c r="AA13" i="5"/>
  <c r="W14" i="5"/>
  <c r="X16" i="5"/>
  <c r="P16" i="5"/>
  <c r="H16" i="5"/>
  <c r="D16" i="5"/>
  <c r="O16" i="5"/>
  <c r="G16" i="5"/>
  <c r="C16" i="5"/>
  <c r="B16" i="5"/>
  <c r="F16" i="5"/>
  <c r="E16" i="5"/>
  <c r="Y16" i="5"/>
  <c r="Q16" i="5"/>
  <c r="I16" i="5"/>
  <c r="A17" i="5"/>
  <c r="N16" i="5"/>
  <c r="R15" i="5"/>
  <c r="J15" i="5"/>
  <c r="S15" i="5"/>
  <c r="K15" i="5"/>
  <c r="AC15" i="5"/>
  <c r="U15" i="5"/>
  <c r="M15" i="5"/>
  <c r="AB15" i="5"/>
  <c r="T15" i="5"/>
  <c r="L15" i="5"/>
  <c r="Z14" i="5" l="1"/>
  <c r="V15" i="5"/>
  <c r="H18" i="6"/>
  <c r="M15" i="2"/>
  <c r="B16" i="2" s="1"/>
  <c r="O17" i="5"/>
  <c r="G17" i="5"/>
  <c r="C17" i="5"/>
  <c r="A18" i="5"/>
  <c r="N17" i="5"/>
  <c r="F17" i="5"/>
  <c r="B17" i="5"/>
  <c r="E17" i="5"/>
  <c r="Y17" i="5"/>
  <c r="I17" i="5"/>
  <c r="X17" i="5"/>
  <c r="H17" i="5"/>
  <c r="D17" i="5"/>
  <c r="Q17" i="5"/>
  <c r="P17" i="5"/>
  <c r="U16" i="5"/>
  <c r="AC16" i="5"/>
  <c r="M16" i="5"/>
  <c r="S16" i="5"/>
  <c r="K16" i="5"/>
  <c r="AB16" i="5"/>
  <c r="T16" i="5"/>
  <c r="L16" i="5"/>
  <c r="W15" i="5"/>
  <c r="AA14" i="5"/>
  <c r="R16" i="5"/>
  <c r="J16" i="5"/>
  <c r="V16" i="5" l="1"/>
  <c r="Z15" i="5"/>
  <c r="H19" i="6"/>
  <c r="M16" i="2"/>
  <c r="B17" i="2" s="1"/>
  <c r="AC17" i="5"/>
  <c r="U17" i="5"/>
  <c r="M17" i="5"/>
  <c r="R17" i="5"/>
  <c r="J17" i="5"/>
  <c r="A19" i="5"/>
  <c r="N18" i="5"/>
  <c r="F18" i="5"/>
  <c r="B18" i="5"/>
  <c r="Y18" i="5"/>
  <c r="Q18" i="5"/>
  <c r="I18" i="5"/>
  <c r="E18" i="5"/>
  <c r="X18" i="5"/>
  <c r="P18" i="5"/>
  <c r="H18" i="5"/>
  <c r="O18" i="5"/>
  <c r="G18" i="5"/>
  <c r="D18" i="5"/>
  <c r="C18" i="5"/>
  <c r="S17" i="5"/>
  <c r="K17" i="5"/>
  <c r="W16" i="5"/>
  <c r="AA15" i="5"/>
  <c r="AB17" i="5"/>
  <c r="T17" i="5"/>
  <c r="L17" i="5"/>
  <c r="V17" i="5" l="1"/>
  <c r="Z16" i="5"/>
  <c r="H20" i="6"/>
  <c r="M17" i="2"/>
  <c r="B18" i="2" s="1"/>
  <c r="AB18" i="5"/>
  <c r="L18" i="5"/>
  <c r="T18" i="5"/>
  <c r="W17" i="5"/>
  <c r="AA16" i="5"/>
  <c r="K18" i="5"/>
  <c r="S18" i="5"/>
  <c r="AC18" i="5"/>
  <c r="U18" i="5"/>
  <c r="M18" i="5"/>
  <c r="R18" i="5"/>
  <c r="J18" i="5"/>
  <c r="Y19" i="5"/>
  <c r="Q19" i="5"/>
  <c r="I19" i="5"/>
  <c r="E19" i="5"/>
  <c r="X19" i="5"/>
  <c r="P19" i="5"/>
  <c r="H19" i="5"/>
  <c r="D19" i="5"/>
  <c r="C19" i="5"/>
  <c r="O19" i="5"/>
  <c r="A20" i="5"/>
  <c r="N19" i="5"/>
  <c r="B19" i="5"/>
  <c r="G19" i="5"/>
  <c r="F19" i="5"/>
  <c r="Z17" i="5" l="1"/>
  <c r="V18" i="5"/>
  <c r="H21" i="6"/>
  <c r="M18" i="2"/>
  <c r="B19" i="2" s="1"/>
  <c r="AB19" i="5"/>
  <c r="T19" i="5"/>
  <c r="L19" i="5"/>
  <c r="W18" i="5"/>
  <c r="AA17" i="5"/>
  <c r="AC19" i="5"/>
  <c r="U19" i="5"/>
  <c r="M19" i="5"/>
  <c r="X20" i="5"/>
  <c r="P20" i="5"/>
  <c r="H20" i="5"/>
  <c r="D20" i="5"/>
  <c r="O20" i="5"/>
  <c r="G20" i="5"/>
  <c r="C20" i="5"/>
  <c r="A21" i="5"/>
  <c r="N20" i="5"/>
  <c r="F20" i="5"/>
  <c r="B20" i="5"/>
  <c r="Q20" i="5"/>
  <c r="E20" i="5"/>
  <c r="Y20" i="5"/>
  <c r="I20" i="5"/>
  <c r="R19" i="5"/>
  <c r="J19" i="5"/>
  <c r="S19" i="5"/>
  <c r="K19" i="5"/>
  <c r="V19" i="5" l="1"/>
  <c r="Z18" i="5"/>
  <c r="H22" i="6"/>
  <c r="M19" i="2"/>
  <c r="B20" i="2" s="1"/>
  <c r="R20" i="5"/>
  <c r="J20" i="5"/>
  <c r="O21" i="5"/>
  <c r="G21" i="5"/>
  <c r="C21" i="5"/>
  <c r="A22" i="5"/>
  <c r="N21" i="5"/>
  <c r="F21" i="5"/>
  <c r="B21" i="5"/>
  <c r="Y21" i="5"/>
  <c r="Q21" i="5"/>
  <c r="I21" i="5"/>
  <c r="D21" i="5"/>
  <c r="X21" i="5"/>
  <c r="P21" i="5"/>
  <c r="H21" i="5"/>
  <c r="E21" i="5"/>
  <c r="S20" i="5"/>
  <c r="K20" i="5"/>
  <c r="AB20" i="5"/>
  <c r="T20" i="5"/>
  <c r="L20" i="5"/>
  <c r="AA18" i="5"/>
  <c r="W19" i="5"/>
  <c r="AC20" i="5"/>
  <c r="U20" i="5"/>
  <c r="M20" i="5"/>
  <c r="V20" i="5" l="1"/>
  <c r="Z19" i="5"/>
  <c r="H23" i="6"/>
  <c r="M20" i="2"/>
  <c r="B21" i="2" s="1"/>
  <c r="W20" i="5"/>
  <c r="AA19" i="5"/>
  <c r="AC21" i="5"/>
  <c r="M21" i="5"/>
  <c r="U21" i="5"/>
  <c r="T21" i="5"/>
  <c r="AB21" i="5"/>
  <c r="L21" i="5"/>
  <c r="R21" i="5"/>
  <c r="J21" i="5"/>
  <c r="Y22" i="5"/>
  <c r="N22" i="5"/>
  <c r="F22" i="5"/>
  <c r="B22" i="5"/>
  <c r="Q22" i="5"/>
  <c r="I22" i="5"/>
  <c r="E22" i="5"/>
  <c r="A23" i="5"/>
  <c r="D22" i="5"/>
  <c r="P22" i="5"/>
  <c r="G22" i="5"/>
  <c r="C22" i="5"/>
  <c r="X22" i="5"/>
  <c r="H22" i="5"/>
  <c r="O22" i="5"/>
  <c r="S21" i="5"/>
  <c r="K21" i="5"/>
  <c r="V21" i="5" l="1"/>
  <c r="Z20" i="5"/>
  <c r="H24" i="6"/>
  <c r="M21" i="2"/>
  <c r="B22" i="2" s="1"/>
  <c r="S22" i="5"/>
  <c r="K22" i="5"/>
  <c r="T22" i="5"/>
  <c r="L22" i="5"/>
  <c r="AB22" i="5"/>
  <c r="W21" i="5"/>
  <c r="AA20" i="5"/>
  <c r="X23" i="5"/>
  <c r="P23" i="5"/>
  <c r="H23" i="5"/>
  <c r="D23" i="5"/>
  <c r="A24" i="5"/>
  <c r="Y23" i="5"/>
  <c r="N23" i="5"/>
  <c r="I23" i="5"/>
  <c r="C23" i="5"/>
  <c r="G23" i="5"/>
  <c r="B23" i="5"/>
  <c r="F23" i="5"/>
  <c r="O23" i="5"/>
  <c r="Q23" i="5"/>
  <c r="E23" i="5"/>
  <c r="R22" i="5"/>
  <c r="J22" i="5"/>
  <c r="AC22" i="5"/>
  <c r="U22" i="5"/>
  <c r="M22" i="5"/>
  <c r="Z21" i="5" l="1"/>
  <c r="V22" i="5"/>
  <c r="H25" i="6"/>
  <c r="M22" i="2"/>
  <c r="B23" i="2" s="1"/>
  <c r="AC23" i="5"/>
  <c r="M23" i="5"/>
  <c r="U23" i="5"/>
  <c r="R23" i="5"/>
  <c r="J23" i="5"/>
  <c r="AB23" i="5"/>
  <c r="T23" i="5"/>
  <c r="L23" i="5"/>
  <c r="S23" i="5"/>
  <c r="K23" i="5"/>
  <c r="O24" i="5"/>
  <c r="G24" i="5"/>
  <c r="C24" i="5"/>
  <c r="Q24" i="5"/>
  <c r="F24" i="5"/>
  <c r="P24" i="5"/>
  <c r="E24" i="5"/>
  <c r="Y24" i="5"/>
  <c r="N24" i="5"/>
  <c r="D24" i="5"/>
  <c r="H24" i="5"/>
  <c r="X24" i="5"/>
  <c r="B24" i="5"/>
  <c r="A25" i="5"/>
  <c r="I24" i="5"/>
  <c r="W22" i="5"/>
  <c r="AA21" i="5"/>
  <c r="V23" i="5" l="1"/>
  <c r="Z22" i="5"/>
  <c r="H26" i="6"/>
  <c r="M23" i="2"/>
  <c r="B24" i="2" s="1"/>
  <c r="AA22" i="5"/>
  <c r="W23" i="5"/>
  <c r="U24" i="5"/>
  <c r="AC24" i="5"/>
  <c r="M24" i="5"/>
  <c r="A26" i="5"/>
  <c r="N25" i="5"/>
  <c r="F25" i="5"/>
  <c r="B25" i="5"/>
  <c r="Y25" i="5"/>
  <c r="O25" i="5"/>
  <c r="I25" i="5"/>
  <c r="D25" i="5"/>
  <c r="X25" i="5"/>
  <c r="H25" i="5"/>
  <c r="C25" i="5"/>
  <c r="Q25" i="5"/>
  <c r="G25" i="5"/>
  <c r="P25" i="5"/>
  <c r="E25" i="5"/>
  <c r="AB24" i="5"/>
  <c r="L24" i="5"/>
  <c r="T24" i="5"/>
  <c r="S24" i="5"/>
  <c r="K24" i="5"/>
  <c r="J24" i="5"/>
  <c r="R24" i="5"/>
  <c r="Z23" i="5" l="1"/>
  <c r="V24" i="5"/>
  <c r="H27" i="6"/>
  <c r="M24" i="2"/>
  <c r="B25" i="2" s="1"/>
  <c r="R25" i="5"/>
  <c r="J25" i="5"/>
  <c r="Y26" i="5"/>
  <c r="Q26" i="5"/>
  <c r="I26" i="5"/>
  <c r="E26" i="5"/>
  <c r="G26" i="5"/>
  <c r="B26" i="5"/>
  <c r="P26" i="5"/>
  <c r="F26" i="5"/>
  <c r="D26" i="5"/>
  <c r="N26" i="5"/>
  <c r="A27" i="5"/>
  <c r="H26" i="5"/>
  <c r="O26" i="5"/>
  <c r="X26" i="5"/>
  <c r="C26" i="5"/>
  <c r="AC25" i="5"/>
  <c r="M25" i="5"/>
  <c r="U25" i="5"/>
  <c r="S25" i="5"/>
  <c r="K25" i="5"/>
  <c r="T25" i="5"/>
  <c r="AB25" i="5"/>
  <c r="L25" i="5"/>
  <c r="AA23" i="5"/>
  <c r="W24" i="5"/>
  <c r="V25" i="5" l="1"/>
  <c r="Z24" i="5"/>
  <c r="H28" i="6"/>
  <c r="M25" i="2"/>
  <c r="B26" i="2" s="1"/>
  <c r="R26" i="5"/>
  <c r="J26" i="5"/>
  <c r="AB26" i="5"/>
  <c r="L26" i="5"/>
  <c r="T26" i="5"/>
  <c r="K26" i="5"/>
  <c r="S26" i="5"/>
  <c r="X27" i="5"/>
  <c r="P27" i="5"/>
  <c r="H27" i="5"/>
  <c r="D27" i="5"/>
  <c r="O27" i="5"/>
  <c r="E27" i="5"/>
  <c r="A28" i="5"/>
  <c r="Y27" i="5"/>
  <c r="N27" i="5"/>
  <c r="I27" i="5"/>
  <c r="C27" i="5"/>
  <c r="B27" i="5"/>
  <c r="F27" i="5"/>
  <c r="G27" i="5"/>
  <c r="Q27" i="5"/>
  <c r="W25" i="5"/>
  <c r="AA24" i="5"/>
  <c r="AC26" i="5"/>
  <c r="U26" i="5"/>
  <c r="M26" i="5"/>
  <c r="Z25" i="5" l="1"/>
  <c r="V26" i="5"/>
  <c r="H29" i="6"/>
  <c r="M26" i="2"/>
  <c r="B27" i="2" s="1"/>
  <c r="AB27" i="5"/>
  <c r="T27" i="5"/>
  <c r="L27" i="5"/>
  <c r="J27" i="5"/>
  <c r="R27" i="5"/>
  <c r="S27" i="5"/>
  <c r="K27" i="5"/>
  <c r="O28" i="5"/>
  <c r="G28" i="5"/>
  <c r="C28" i="5"/>
  <c r="X28" i="5"/>
  <c r="H28" i="5"/>
  <c r="B28" i="5"/>
  <c r="Q28" i="5"/>
  <c r="F28" i="5"/>
  <c r="P28" i="5"/>
  <c r="E28" i="5"/>
  <c r="Y28" i="5"/>
  <c r="N28" i="5"/>
  <c r="D28" i="5"/>
  <c r="A29" i="5"/>
  <c r="I28" i="5"/>
  <c r="W26" i="5"/>
  <c r="AA25" i="5"/>
  <c r="U27" i="5"/>
  <c r="M27" i="5"/>
  <c r="AC27" i="5"/>
  <c r="V27" i="5" l="1"/>
  <c r="Z26" i="5"/>
  <c r="H30" i="6"/>
  <c r="M27" i="2"/>
  <c r="B28" i="2" s="1"/>
  <c r="AC28" i="5"/>
  <c r="M28" i="5"/>
  <c r="U28" i="5"/>
  <c r="S28" i="5"/>
  <c r="K28" i="5"/>
  <c r="R28" i="5"/>
  <c r="J28" i="5"/>
  <c r="A30" i="5"/>
  <c r="N29" i="5"/>
  <c r="F29" i="5"/>
  <c r="B29" i="5"/>
  <c r="P29" i="5"/>
  <c r="E29" i="5"/>
  <c r="Y29" i="5"/>
  <c r="O29" i="5"/>
  <c r="I29" i="5"/>
  <c r="D29" i="5"/>
  <c r="H29" i="5"/>
  <c r="X29" i="5"/>
  <c r="C29" i="5"/>
  <c r="Q29" i="5"/>
  <c r="G29" i="5"/>
  <c r="AB28" i="5"/>
  <c r="L28" i="5"/>
  <c r="T28" i="5"/>
  <c r="AA26" i="5"/>
  <c r="W27" i="5"/>
  <c r="Z27" i="5" l="1"/>
  <c r="V28" i="5"/>
  <c r="H31" i="6"/>
  <c r="M28" i="2"/>
  <c r="B29" i="2" s="1"/>
  <c r="R29" i="5"/>
  <c r="J29" i="5"/>
  <c r="U29" i="5"/>
  <c r="AC29" i="5"/>
  <c r="M29" i="5"/>
  <c r="Y30" i="5"/>
  <c r="Q30" i="5"/>
  <c r="I30" i="5"/>
  <c r="E30" i="5"/>
  <c r="A31" i="5"/>
  <c r="X30" i="5"/>
  <c r="N30" i="5"/>
  <c r="H30" i="5"/>
  <c r="C30" i="5"/>
  <c r="G30" i="5"/>
  <c r="B30" i="5"/>
  <c r="P30" i="5"/>
  <c r="D30" i="5"/>
  <c r="F30" i="5"/>
  <c r="O30" i="5"/>
  <c r="T29" i="5"/>
  <c r="L29" i="5"/>
  <c r="AB29" i="5"/>
  <c r="AA27" i="5"/>
  <c r="W28" i="5"/>
  <c r="K29" i="5"/>
  <c r="S29" i="5"/>
  <c r="V29" i="5" l="1"/>
  <c r="Z28" i="5"/>
  <c r="H32" i="6"/>
  <c r="M29" i="2"/>
  <c r="B30" i="2" s="1"/>
  <c r="AC30" i="5"/>
  <c r="U30" i="5"/>
  <c r="M30" i="5"/>
  <c r="AA28" i="5"/>
  <c r="W29" i="5"/>
  <c r="R30" i="5"/>
  <c r="J30" i="5"/>
  <c r="AB30" i="5"/>
  <c r="L30" i="5"/>
  <c r="T30" i="5"/>
  <c r="S30" i="5"/>
  <c r="K30" i="5"/>
  <c r="X31" i="5"/>
  <c r="P31" i="5"/>
  <c r="H31" i="5"/>
  <c r="D31" i="5"/>
  <c r="Q31" i="5"/>
  <c r="F31" i="5"/>
  <c r="O31" i="5"/>
  <c r="E31" i="5"/>
  <c r="Y31" i="5"/>
  <c r="N31" i="5"/>
  <c r="C31" i="5"/>
  <c r="B31" i="5"/>
  <c r="A32" i="5"/>
  <c r="I31" i="5"/>
  <c r="G31" i="5"/>
  <c r="Z29" i="5" l="1"/>
  <c r="V30" i="5"/>
  <c r="H33" i="6"/>
  <c r="M30" i="2"/>
  <c r="B31" i="2" s="1"/>
  <c r="K31" i="5"/>
  <c r="S31" i="5"/>
  <c r="J31" i="5"/>
  <c r="R31" i="5"/>
  <c r="AB31" i="5"/>
  <c r="T31" i="5"/>
  <c r="L31" i="5"/>
  <c r="O32" i="5"/>
  <c r="G32" i="5"/>
  <c r="C32" i="5"/>
  <c r="A33" i="5"/>
  <c r="Y32" i="5"/>
  <c r="N32" i="5"/>
  <c r="I32" i="5"/>
  <c r="D32" i="5"/>
  <c r="X32" i="5"/>
  <c r="H32" i="5"/>
  <c r="B32" i="5"/>
  <c r="Q32" i="5"/>
  <c r="F32" i="5"/>
  <c r="P32" i="5"/>
  <c r="E32" i="5"/>
  <c r="W30" i="5"/>
  <c r="AA29" i="5"/>
  <c r="U31" i="5"/>
  <c r="M31" i="5"/>
  <c r="AC31" i="5"/>
  <c r="V31" i="5" l="1"/>
  <c r="Z30" i="5"/>
  <c r="H34" i="6"/>
  <c r="M31" i="2"/>
  <c r="B32" i="2" s="1"/>
  <c r="A34" i="5"/>
  <c r="N33" i="5"/>
  <c r="F33" i="5"/>
  <c r="B33" i="5"/>
  <c r="Q33" i="5"/>
  <c r="G33" i="5"/>
  <c r="P33" i="5"/>
  <c r="E33" i="5"/>
  <c r="I33" i="5"/>
  <c r="Y33" i="5"/>
  <c r="O33" i="5"/>
  <c r="D33" i="5"/>
  <c r="X33" i="5"/>
  <c r="C33" i="5"/>
  <c r="H33" i="5"/>
  <c r="AC32" i="5"/>
  <c r="M32" i="5"/>
  <c r="U32" i="5"/>
  <c r="R32" i="5"/>
  <c r="J32" i="5"/>
  <c r="S32" i="5"/>
  <c r="K32" i="5"/>
  <c r="T32" i="5"/>
  <c r="AB32" i="5"/>
  <c r="L32" i="5"/>
  <c r="W31" i="5"/>
  <c r="AA30" i="5"/>
  <c r="V32" i="5" l="1"/>
  <c r="Z31" i="5"/>
  <c r="H35" i="6"/>
  <c r="M32" i="2"/>
  <c r="B33" i="2" s="1"/>
  <c r="U33" i="5"/>
  <c r="AC33" i="5"/>
  <c r="M33" i="5"/>
  <c r="R33" i="5"/>
  <c r="J33" i="5"/>
  <c r="Y34" i="5"/>
  <c r="Q34" i="5"/>
  <c r="I34" i="5"/>
  <c r="E34" i="5"/>
  <c r="O34" i="5"/>
  <c r="D34" i="5"/>
  <c r="A35" i="5"/>
  <c r="X34" i="5"/>
  <c r="N34" i="5"/>
  <c r="H34" i="5"/>
  <c r="C34" i="5"/>
  <c r="B34" i="5"/>
  <c r="P34" i="5"/>
  <c r="G34" i="5"/>
  <c r="F34" i="5"/>
  <c r="AB33" i="5"/>
  <c r="L33" i="5"/>
  <c r="T33" i="5"/>
  <c r="K33" i="5"/>
  <c r="S33" i="5"/>
  <c r="W32" i="5"/>
  <c r="AA31" i="5"/>
  <c r="V33" i="5" l="1"/>
  <c r="Z32" i="5"/>
  <c r="H36" i="6"/>
  <c r="M33" i="2"/>
  <c r="B34" i="2" s="1"/>
  <c r="AC34" i="5"/>
  <c r="U34" i="5"/>
  <c r="M34" i="5"/>
  <c r="S34" i="5"/>
  <c r="K34" i="5"/>
  <c r="X35" i="5"/>
  <c r="P35" i="5"/>
  <c r="H35" i="5"/>
  <c r="D35" i="5"/>
  <c r="G35" i="5"/>
  <c r="B35" i="5"/>
  <c r="Q35" i="5"/>
  <c r="F35" i="5"/>
  <c r="O35" i="5"/>
  <c r="E35" i="5"/>
  <c r="A36" i="5"/>
  <c r="I35" i="5"/>
  <c r="Y35" i="5"/>
  <c r="N35" i="5"/>
  <c r="C35" i="5"/>
  <c r="W33" i="5"/>
  <c r="AA32" i="5"/>
  <c r="T34" i="5"/>
  <c r="L34" i="5"/>
  <c r="AB34" i="5"/>
  <c r="J34" i="5"/>
  <c r="R34" i="5"/>
  <c r="Z33" i="5" l="1"/>
  <c r="V34" i="5"/>
  <c r="H37" i="6"/>
  <c r="M34" i="2"/>
  <c r="B35" i="2" s="1"/>
  <c r="AB35" i="5"/>
  <c r="T35" i="5"/>
  <c r="L35" i="5"/>
  <c r="R35" i="5"/>
  <c r="J35" i="5"/>
  <c r="AC35" i="5"/>
  <c r="M35" i="5"/>
  <c r="U35" i="5"/>
  <c r="AA33" i="5"/>
  <c r="W34" i="5"/>
  <c r="K35" i="5"/>
  <c r="S35" i="5"/>
  <c r="O36" i="5"/>
  <c r="G36" i="5"/>
  <c r="C36" i="5"/>
  <c r="P36" i="5"/>
  <c r="E36" i="5"/>
  <c r="A37" i="5"/>
  <c r="Y36" i="5"/>
  <c r="N36" i="5"/>
  <c r="I36" i="5"/>
  <c r="D36" i="5"/>
  <c r="H36" i="5"/>
  <c r="X36" i="5"/>
  <c r="B36" i="5"/>
  <c r="Q36" i="5"/>
  <c r="F36" i="5"/>
  <c r="V35" i="5" l="1"/>
  <c r="Z34" i="5"/>
  <c r="H38" i="6"/>
  <c r="M35" i="2"/>
  <c r="B36" i="2" s="1"/>
  <c r="S36" i="5"/>
  <c r="K36" i="5"/>
  <c r="J36" i="5"/>
  <c r="R36" i="5"/>
  <c r="U36" i="5"/>
  <c r="AC36" i="5"/>
  <c r="M36" i="5"/>
  <c r="T36" i="5"/>
  <c r="AB36" i="5"/>
  <c r="L36" i="5"/>
  <c r="A38" i="5"/>
  <c r="N37" i="5"/>
  <c r="F37" i="5"/>
  <c r="B37" i="5"/>
  <c r="X37" i="5"/>
  <c r="H37" i="5"/>
  <c r="C37" i="5"/>
  <c r="Q37" i="5"/>
  <c r="G37" i="5"/>
  <c r="P37" i="5"/>
  <c r="O37" i="5"/>
  <c r="I37" i="5"/>
  <c r="E37" i="5"/>
  <c r="Y37" i="5"/>
  <c r="D37" i="5"/>
  <c r="W35" i="5"/>
  <c r="AA34" i="5"/>
  <c r="Z35" i="5" l="1"/>
  <c r="V36" i="5"/>
  <c r="H39" i="6"/>
  <c r="M36" i="2"/>
  <c r="B37" i="2" s="1"/>
  <c r="AB37" i="5"/>
  <c r="L37" i="5"/>
  <c r="T37" i="5"/>
  <c r="R37" i="5"/>
  <c r="J37" i="5"/>
  <c r="Y38" i="5"/>
  <c r="Q38" i="5"/>
  <c r="I38" i="5"/>
  <c r="E38" i="5"/>
  <c r="P38" i="5"/>
  <c r="F38" i="5"/>
  <c r="O38" i="5"/>
  <c r="D38" i="5"/>
  <c r="X38" i="5"/>
  <c r="N38" i="5"/>
  <c r="C38" i="5"/>
  <c r="A39" i="5"/>
  <c r="H38" i="5"/>
  <c r="G38" i="5"/>
  <c r="B38" i="5"/>
  <c r="W36" i="5"/>
  <c r="AA35" i="5"/>
  <c r="S37" i="5"/>
  <c r="K37" i="5"/>
  <c r="AC37" i="5"/>
  <c r="M37" i="5"/>
  <c r="U37" i="5"/>
  <c r="V37" i="5" l="1"/>
  <c r="Z36" i="5"/>
  <c r="H40" i="6"/>
  <c r="M37" i="2"/>
  <c r="B38" i="2" s="1"/>
  <c r="M38" i="2" s="1"/>
  <c r="K38" i="5"/>
  <c r="S38" i="5"/>
  <c r="AA36" i="5"/>
  <c r="W37" i="5"/>
  <c r="AC38" i="5"/>
  <c r="U38" i="5"/>
  <c r="M38" i="5"/>
  <c r="J38" i="5"/>
  <c r="R38" i="5"/>
  <c r="Y39" i="5"/>
  <c r="Q39" i="5"/>
  <c r="I39" i="5"/>
  <c r="E39" i="5"/>
  <c r="X39" i="5"/>
  <c r="P39" i="5"/>
  <c r="H39" i="5"/>
  <c r="D39" i="5"/>
  <c r="C39" i="5"/>
  <c r="B39" i="5"/>
  <c r="G39" i="5"/>
  <c r="A40" i="5"/>
  <c r="F39" i="5"/>
  <c r="O39" i="5"/>
  <c r="N39" i="5"/>
  <c r="T38" i="5"/>
  <c r="AB38" i="5"/>
  <c r="L38" i="5"/>
  <c r="Z37" i="5" l="1"/>
  <c r="V38" i="5"/>
  <c r="H41" i="6"/>
  <c r="R39" i="5"/>
  <c r="J39" i="5"/>
  <c r="AA37" i="5"/>
  <c r="W38" i="5"/>
  <c r="X40" i="5"/>
  <c r="P40" i="5"/>
  <c r="H40" i="5"/>
  <c r="D40" i="5"/>
  <c r="O40" i="5"/>
  <c r="G40" i="5"/>
  <c r="C40" i="5"/>
  <c r="A41" i="5"/>
  <c r="N40" i="5"/>
  <c r="F40" i="5"/>
  <c r="E40" i="5"/>
  <c r="B40" i="5"/>
  <c r="Y40" i="5"/>
  <c r="I40" i="5"/>
  <c r="Q40" i="5"/>
  <c r="S39" i="5"/>
  <c r="K39" i="5"/>
  <c r="AB39" i="5"/>
  <c r="T39" i="5"/>
  <c r="L39" i="5"/>
  <c r="AC39" i="5"/>
  <c r="U39" i="5"/>
  <c r="M39" i="5"/>
  <c r="Z38" i="5" l="1"/>
  <c r="V39" i="5"/>
  <c r="H42" i="6"/>
  <c r="J40" i="5"/>
  <c r="R40" i="5"/>
  <c r="AC40" i="5"/>
  <c r="U40" i="5"/>
  <c r="M40" i="5"/>
  <c r="O41" i="5"/>
  <c r="G41" i="5"/>
  <c r="C41" i="5"/>
  <c r="A42" i="5"/>
  <c r="N41" i="5"/>
  <c r="F41" i="5"/>
  <c r="B41" i="5"/>
  <c r="Y41" i="5"/>
  <c r="Q41" i="5"/>
  <c r="I41" i="5"/>
  <c r="X41" i="5"/>
  <c r="P41" i="5"/>
  <c r="H41" i="5"/>
  <c r="E41" i="5"/>
  <c r="D41" i="5"/>
  <c r="S40" i="5"/>
  <c r="K40" i="5"/>
  <c r="AB40" i="5"/>
  <c r="T40" i="5"/>
  <c r="L40" i="5"/>
  <c r="AA38" i="5"/>
  <c r="W39" i="5"/>
  <c r="V40" i="5" l="1"/>
  <c r="Z39" i="5"/>
  <c r="H43" i="6"/>
  <c r="AA39" i="5"/>
  <c r="W40" i="5"/>
  <c r="AB41" i="5"/>
  <c r="L41" i="5"/>
  <c r="T41" i="5"/>
  <c r="R41" i="5"/>
  <c r="J41" i="5"/>
  <c r="A43" i="5"/>
  <c r="N42" i="5"/>
  <c r="F42" i="5"/>
  <c r="B42" i="5"/>
  <c r="Y42" i="5"/>
  <c r="Q42" i="5"/>
  <c r="I42" i="5"/>
  <c r="E42" i="5"/>
  <c r="D42" i="5"/>
  <c r="C42" i="5"/>
  <c r="P42" i="5"/>
  <c r="H42" i="5"/>
  <c r="G42" i="5"/>
  <c r="O42" i="5"/>
  <c r="X42" i="5"/>
  <c r="AC41" i="5"/>
  <c r="M41" i="5"/>
  <c r="U41" i="5"/>
  <c r="S41" i="5"/>
  <c r="K41" i="5"/>
  <c r="V41" i="5" l="1"/>
  <c r="Z40" i="5"/>
  <c r="H44" i="6"/>
  <c r="S42" i="5"/>
  <c r="K42" i="5"/>
  <c r="AB42" i="5"/>
  <c r="T42" i="5"/>
  <c r="L42" i="5"/>
  <c r="AA40" i="5"/>
  <c r="W41" i="5"/>
  <c r="AC42" i="5"/>
  <c r="U42" i="5"/>
  <c r="M42" i="5"/>
  <c r="R42" i="5"/>
  <c r="J42" i="5"/>
  <c r="Y43" i="5"/>
  <c r="Q43" i="5"/>
  <c r="I43" i="5"/>
  <c r="E43" i="5"/>
  <c r="X43" i="5"/>
  <c r="P43" i="5"/>
  <c r="H43" i="5"/>
  <c r="D43" i="5"/>
  <c r="O43" i="5"/>
  <c r="G43" i="5"/>
  <c r="A44" i="5"/>
  <c r="N43" i="5"/>
  <c r="F43" i="5"/>
  <c r="C43" i="5"/>
  <c r="B43" i="5"/>
  <c r="Z41" i="5" l="1"/>
  <c r="V42" i="5"/>
  <c r="H45" i="6"/>
  <c r="J43" i="5"/>
  <c r="R43" i="5"/>
  <c r="W42" i="5"/>
  <c r="AA41" i="5"/>
  <c r="AB43" i="5"/>
  <c r="T43" i="5"/>
  <c r="L43" i="5"/>
  <c r="AC43" i="5"/>
  <c r="U43" i="5"/>
  <c r="M43" i="5"/>
  <c r="S43" i="5"/>
  <c r="K43" i="5"/>
  <c r="X44" i="5"/>
  <c r="P44" i="5"/>
  <c r="H44" i="5"/>
  <c r="D44" i="5"/>
  <c r="O44" i="5"/>
  <c r="G44" i="5"/>
  <c r="C44" i="5"/>
  <c r="B44" i="5"/>
  <c r="Y44" i="5"/>
  <c r="Q44" i="5"/>
  <c r="I44" i="5"/>
  <c r="F44" i="5"/>
  <c r="N44" i="5"/>
  <c r="E44" i="5"/>
  <c r="A45" i="5"/>
  <c r="Z42" i="5" l="1"/>
  <c r="V43" i="5"/>
  <c r="H46" i="6"/>
  <c r="R44" i="5"/>
  <c r="J44" i="5"/>
  <c r="M44" i="5"/>
  <c r="U44" i="5"/>
  <c r="AC44" i="5"/>
  <c r="S44" i="5"/>
  <c r="K44" i="5"/>
  <c r="AB44" i="5"/>
  <c r="T44" i="5"/>
  <c r="L44" i="5"/>
  <c r="AA42" i="5"/>
  <c r="W43" i="5"/>
  <c r="O45" i="5"/>
  <c r="G45" i="5"/>
  <c r="C45" i="5"/>
  <c r="A46" i="5"/>
  <c r="N45" i="5"/>
  <c r="F45" i="5"/>
  <c r="B45" i="5"/>
  <c r="E45" i="5"/>
  <c r="D45" i="5"/>
  <c r="Y45" i="5"/>
  <c r="I45" i="5"/>
  <c r="Q45" i="5"/>
  <c r="P45" i="5"/>
  <c r="X45" i="5"/>
  <c r="H45" i="5"/>
  <c r="Z43" i="5" l="1"/>
  <c r="V44" i="5"/>
  <c r="H47" i="6"/>
  <c r="AC45" i="5"/>
  <c r="U45" i="5"/>
  <c r="M45" i="5"/>
  <c r="R45" i="5"/>
  <c r="J45" i="5"/>
  <c r="A47" i="5"/>
  <c r="N46" i="5"/>
  <c r="F46" i="5"/>
  <c r="B46" i="5"/>
  <c r="Y46" i="5"/>
  <c r="Q46" i="5"/>
  <c r="I46" i="5"/>
  <c r="E46" i="5"/>
  <c r="X46" i="5"/>
  <c r="P46" i="5"/>
  <c r="H46" i="5"/>
  <c r="O46" i="5"/>
  <c r="G46" i="5"/>
  <c r="D46" i="5"/>
  <c r="C46" i="5"/>
  <c r="S45" i="5"/>
  <c r="K45" i="5"/>
  <c r="AA43" i="5"/>
  <c r="W44" i="5"/>
  <c r="AB45" i="5"/>
  <c r="T45" i="5"/>
  <c r="L45" i="5"/>
  <c r="V45" i="5" l="1"/>
  <c r="Z44" i="5"/>
  <c r="H48" i="6"/>
  <c r="AA44" i="5"/>
  <c r="W45" i="5"/>
  <c r="AC46" i="5"/>
  <c r="U46" i="5"/>
  <c r="M46" i="5"/>
  <c r="R46" i="5"/>
  <c r="J46" i="5"/>
  <c r="Y47" i="5"/>
  <c r="Q47" i="5"/>
  <c r="I47" i="5"/>
  <c r="E47" i="5"/>
  <c r="X47" i="5"/>
  <c r="P47" i="5"/>
  <c r="H47" i="5"/>
  <c r="D47" i="5"/>
  <c r="C47" i="5"/>
  <c r="B47" i="5"/>
  <c r="O47" i="5"/>
  <c r="G47" i="5"/>
  <c r="A48" i="5"/>
  <c r="N47" i="5"/>
  <c r="F47" i="5"/>
  <c r="AB46" i="5"/>
  <c r="L46" i="5"/>
  <c r="T46" i="5"/>
  <c r="S46" i="5"/>
  <c r="K46" i="5"/>
  <c r="Z45" i="5" l="1"/>
  <c r="V46" i="5"/>
  <c r="H49" i="6"/>
  <c r="AC47" i="5"/>
  <c r="U47" i="5"/>
  <c r="M47" i="5"/>
  <c r="X48" i="5"/>
  <c r="P48" i="5"/>
  <c r="H48" i="5"/>
  <c r="D48" i="5"/>
  <c r="O48" i="5"/>
  <c r="G48" i="5"/>
  <c r="C48" i="5"/>
  <c r="A49" i="5"/>
  <c r="N48" i="5"/>
  <c r="F48" i="5"/>
  <c r="E48" i="5"/>
  <c r="B48" i="5"/>
  <c r="Y48" i="5"/>
  <c r="Q48" i="5"/>
  <c r="I48" i="5"/>
  <c r="R47" i="5"/>
  <c r="J47" i="5"/>
  <c r="AA45" i="5"/>
  <c r="W46" i="5"/>
  <c r="AB47" i="5"/>
  <c r="T47" i="5"/>
  <c r="L47" i="5"/>
  <c r="S47" i="5"/>
  <c r="K47" i="5"/>
  <c r="Z46" i="5" l="1"/>
  <c r="V47" i="5"/>
  <c r="H50" i="6"/>
  <c r="O49" i="5"/>
  <c r="G49" i="5"/>
  <c r="C49" i="5"/>
  <c r="A50" i="5"/>
  <c r="N49" i="5"/>
  <c r="F49" i="5"/>
  <c r="B49" i="5"/>
  <c r="Y49" i="5"/>
  <c r="Q49" i="5"/>
  <c r="I49" i="5"/>
  <c r="X49" i="5"/>
  <c r="P49" i="5"/>
  <c r="H49" i="5"/>
  <c r="E49" i="5"/>
  <c r="D49" i="5"/>
  <c r="S48" i="5"/>
  <c r="K48" i="5"/>
  <c r="AB48" i="5"/>
  <c r="T48" i="5"/>
  <c r="L48" i="5"/>
  <c r="AC48" i="5"/>
  <c r="U48" i="5"/>
  <c r="M48" i="5"/>
  <c r="AA46" i="5"/>
  <c r="W47" i="5"/>
  <c r="R48" i="5"/>
  <c r="J48" i="5"/>
  <c r="V48" i="5" l="1"/>
  <c r="Z47" i="5"/>
  <c r="H51" i="6"/>
  <c r="U49" i="5"/>
  <c r="AC49" i="5"/>
  <c r="M49" i="5"/>
  <c r="AA47" i="5"/>
  <c r="W48" i="5"/>
  <c r="S49" i="5"/>
  <c r="K49" i="5"/>
  <c r="AB49" i="5"/>
  <c r="T49" i="5"/>
  <c r="L49" i="5"/>
  <c r="R49" i="5"/>
  <c r="J49" i="5"/>
  <c r="A51" i="5"/>
  <c r="N50" i="5"/>
  <c r="F50" i="5"/>
  <c r="B50" i="5"/>
  <c r="Y50" i="5"/>
  <c r="Q50" i="5"/>
  <c r="I50" i="5"/>
  <c r="E50" i="5"/>
  <c r="D50" i="5"/>
  <c r="C50" i="5"/>
  <c r="X50" i="5"/>
  <c r="H50" i="5"/>
  <c r="P50" i="5"/>
  <c r="O50" i="5"/>
  <c r="G50" i="5"/>
  <c r="Z48" i="5" l="1"/>
  <c r="V49" i="5"/>
  <c r="H52" i="6"/>
  <c r="R50" i="5"/>
  <c r="J50" i="5"/>
  <c r="Y51" i="5"/>
  <c r="Q51" i="5"/>
  <c r="I51" i="5"/>
  <c r="E51" i="5"/>
  <c r="X51" i="5"/>
  <c r="P51" i="5"/>
  <c r="H51" i="5"/>
  <c r="D51" i="5"/>
  <c r="O51" i="5"/>
  <c r="G51" i="5"/>
  <c r="A52" i="5"/>
  <c r="N51" i="5"/>
  <c r="F51" i="5"/>
  <c r="C51" i="5"/>
  <c r="B51" i="5"/>
  <c r="AB50" i="5"/>
  <c r="T50" i="5"/>
  <c r="L50" i="5"/>
  <c r="AC50" i="5"/>
  <c r="U50" i="5"/>
  <c r="M50" i="5"/>
  <c r="S50" i="5"/>
  <c r="K50" i="5"/>
  <c r="W49" i="5"/>
  <c r="AA48" i="5"/>
  <c r="Z49" i="5" l="1"/>
  <c r="V50" i="5"/>
  <c r="H53" i="6"/>
  <c r="X52" i="5"/>
  <c r="P52" i="5"/>
  <c r="H52" i="5"/>
  <c r="D52" i="5"/>
  <c r="O52" i="5"/>
  <c r="G52" i="5"/>
  <c r="C52" i="5"/>
  <c r="B52" i="5"/>
  <c r="Y52" i="5"/>
  <c r="Q52" i="5"/>
  <c r="I52" i="5"/>
  <c r="A53" i="5"/>
  <c r="N52" i="5"/>
  <c r="F52" i="5"/>
  <c r="E52" i="5"/>
  <c r="J51" i="5"/>
  <c r="R51" i="5"/>
  <c r="K51" i="5"/>
  <c r="S51" i="5"/>
  <c r="AC51" i="5"/>
  <c r="U51" i="5"/>
  <c r="M51" i="5"/>
  <c r="AA49" i="5"/>
  <c r="W50" i="5"/>
  <c r="AB51" i="5"/>
  <c r="T51" i="5"/>
  <c r="L51" i="5"/>
  <c r="V51" i="5" l="1"/>
  <c r="Z50" i="5"/>
  <c r="H54" i="6"/>
  <c r="W51" i="5"/>
  <c r="AA50" i="5"/>
  <c r="S52" i="5"/>
  <c r="K52" i="5"/>
  <c r="AB52" i="5"/>
  <c r="T52" i="5"/>
  <c r="L52" i="5"/>
  <c r="U52" i="5"/>
  <c r="AC52" i="5"/>
  <c r="M52" i="5"/>
  <c r="O53" i="5"/>
  <c r="G53" i="5"/>
  <c r="C53" i="5"/>
  <c r="A54" i="5"/>
  <c r="N53" i="5"/>
  <c r="F53" i="5"/>
  <c r="B53" i="5"/>
  <c r="E53" i="5"/>
  <c r="D53" i="5"/>
  <c r="Q53" i="5"/>
  <c r="Y53" i="5"/>
  <c r="I53" i="5"/>
  <c r="P53" i="5"/>
  <c r="X53" i="5"/>
  <c r="H53" i="5"/>
  <c r="R52" i="5"/>
  <c r="J52" i="5"/>
  <c r="Z51" i="5" l="1"/>
  <c r="V52" i="5"/>
  <c r="H55" i="6"/>
  <c r="R53" i="5"/>
  <c r="J53" i="5"/>
  <c r="A55" i="5"/>
  <c r="N54" i="5"/>
  <c r="F54" i="5"/>
  <c r="B54" i="5"/>
  <c r="Y54" i="5"/>
  <c r="Q54" i="5"/>
  <c r="I54" i="5"/>
  <c r="E54" i="5"/>
  <c r="X54" i="5"/>
  <c r="P54" i="5"/>
  <c r="H54" i="5"/>
  <c r="O54" i="5"/>
  <c r="G54" i="5"/>
  <c r="D54" i="5"/>
  <c r="C54" i="5"/>
  <c r="S53" i="5"/>
  <c r="K53" i="5"/>
  <c r="AB53" i="5"/>
  <c r="T53" i="5"/>
  <c r="L53" i="5"/>
  <c r="AC53" i="5"/>
  <c r="U53" i="5"/>
  <c r="M53" i="5"/>
  <c r="W52" i="5"/>
  <c r="AA51" i="5"/>
  <c r="V53" i="5" l="1"/>
  <c r="Z52" i="5"/>
  <c r="H56" i="6"/>
  <c r="AC54" i="5"/>
  <c r="U54" i="5"/>
  <c r="M54" i="5"/>
  <c r="R54" i="5"/>
  <c r="J54" i="5"/>
  <c r="Y55" i="5"/>
  <c r="Q55" i="5"/>
  <c r="I55" i="5"/>
  <c r="E55" i="5"/>
  <c r="X55" i="5"/>
  <c r="P55" i="5"/>
  <c r="H55" i="5"/>
  <c r="D55" i="5"/>
  <c r="C55" i="5"/>
  <c r="B55" i="5"/>
  <c r="G55" i="5"/>
  <c r="O55" i="5"/>
  <c r="N55" i="5"/>
  <c r="F55" i="5"/>
  <c r="A56" i="5"/>
  <c r="T54" i="5"/>
  <c r="AB54" i="5"/>
  <c r="L54" i="5"/>
  <c r="K54" i="5"/>
  <c r="S54" i="5"/>
  <c r="AA52" i="5"/>
  <c r="W53" i="5"/>
  <c r="Z53" i="5" l="1"/>
  <c r="V54" i="5"/>
  <c r="H57" i="6"/>
  <c r="AA53" i="5"/>
  <c r="W54" i="5"/>
  <c r="X56" i="5"/>
  <c r="P56" i="5"/>
  <c r="H56" i="5"/>
  <c r="D56" i="5"/>
  <c r="O56" i="5"/>
  <c r="G56" i="5"/>
  <c r="C56" i="5"/>
  <c r="A57" i="5"/>
  <c r="N56" i="5"/>
  <c r="F56" i="5"/>
  <c r="E56" i="5"/>
  <c r="B56" i="5"/>
  <c r="Q56" i="5"/>
  <c r="Y56" i="5"/>
  <c r="I56" i="5"/>
  <c r="S55" i="5"/>
  <c r="K55" i="5"/>
  <c r="R55" i="5"/>
  <c r="J55" i="5"/>
  <c r="AC55" i="5"/>
  <c r="U55" i="5"/>
  <c r="M55" i="5"/>
  <c r="AB55" i="5"/>
  <c r="T55" i="5"/>
  <c r="L55" i="5"/>
  <c r="Z54" i="5" l="1"/>
  <c r="V55" i="5"/>
  <c r="H58" i="6"/>
  <c r="J56" i="5"/>
  <c r="R56" i="5"/>
  <c r="AC56" i="5"/>
  <c r="U56" i="5"/>
  <c r="M56" i="5"/>
  <c r="O57" i="5"/>
  <c r="G57" i="5"/>
  <c r="C57" i="5"/>
  <c r="A58" i="5"/>
  <c r="N57" i="5"/>
  <c r="F57" i="5"/>
  <c r="B57" i="5"/>
  <c r="Y57" i="5"/>
  <c r="Q57" i="5"/>
  <c r="I57" i="5"/>
  <c r="X57" i="5"/>
  <c r="P57" i="5"/>
  <c r="H57" i="5"/>
  <c r="E57" i="5"/>
  <c r="D57" i="5"/>
  <c r="S56" i="5"/>
  <c r="K56" i="5"/>
  <c r="AB56" i="5"/>
  <c r="T56" i="5"/>
  <c r="L56" i="5"/>
  <c r="W55" i="5"/>
  <c r="AA54" i="5"/>
  <c r="Z55" i="5" l="1"/>
  <c r="V56" i="5"/>
  <c r="H59" i="6"/>
  <c r="W56" i="5"/>
  <c r="AA55" i="5"/>
  <c r="T57" i="5"/>
  <c r="AB57" i="5"/>
  <c r="L57" i="5"/>
  <c r="R57" i="5"/>
  <c r="J57" i="5"/>
  <c r="O58" i="5"/>
  <c r="G58" i="5"/>
  <c r="C58" i="5"/>
  <c r="A59" i="5"/>
  <c r="N58" i="5"/>
  <c r="F58" i="5"/>
  <c r="Y58" i="5"/>
  <c r="Q58" i="5"/>
  <c r="I58" i="5"/>
  <c r="B58" i="5"/>
  <c r="X58" i="5"/>
  <c r="P58" i="5"/>
  <c r="H58" i="5"/>
  <c r="E58" i="5"/>
  <c r="D58" i="5"/>
  <c r="S57" i="5"/>
  <c r="K57" i="5"/>
  <c r="AC57" i="5"/>
  <c r="M57" i="5"/>
  <c r="U57" i="5"/>
  <c r="V57" i="5" l="1"/>
  <c r="Z56" i="5"/>
  <c r="H60" i="6"/>
  <c r="R58" i="5"/>
  <c r="J58" i="5"/>
  <c r="S58" i="5"/>
  <c r="K58" i="5"/>
  <c r="U58" i="5"/>
  <c r="AC58" i="5"/>
  <c r="M58" i="5"/>
  <c r="T58" i="5"/>
  <c r="AB58" i="5"/>
  <c r="L58" i="5"/>
  <c r="A60" i="5"/>
  <c r="N59" i="5"/>
  <c r="F59" i="5"/>
  <c r="B59" i="5"/>
  <c r="Y59" i="5"/>
  <c r="Q59" i="5"/>
  <c r="I59" i="5"/>
  <c r="E59" i="5"/>
  <c r="D59" i="5"/>
  <c r="C59" i="5"/>
  <c r="X59" i="5"/>
  <c r="H59" i="5"/>
  <c r="G59" i="5"/>
  <c r="P59" i="5"/>
  <c r="O59" i="5"/>
  <c r="W57" i="5"/>
  <c r="AA56" i="5"/>
  <c r="Z57" i="5" l="1"/>
  <c r="V58" i="5"/>
  <c r="H61" i="6"/>
  <c r="S59" i="5"/>
  <c r="K59" i="5"/>
  <c r="W58" i="5"/>
  <c r="AA57" i="5"/>
  <c r="AB59" i="5"/>
  <c r="T59" i="5"/>
  <c r="L59" i="5"/>
  <c r="AC59" i="5"/>
  <c r="U59" i="5"/>
  <c r="M59" i="5"/>
  <c r="R59" i="5"/>
  <c r="J59" i="5"/>
  <c r="Y60" i="5"/>
  <c r="Q60" i="5"/>
  <c r="I60" i="5"/>
  <c r="E60" i="5"/>
  <c r="X60" i="5"/>
  <c r="P60" i="5"/>
  <c r="H60" i="5"/>
  <c r="D60" i="5"/>
  <c r="O60" i="5"/>
  <c r="G60" i="5"/>
  <c r="A61" i="5"/>
  <c r="N60" i="5"/>
  <c r="F60" i="5"/>
  <c r="C60" i="5"/>
  <c r="B60" i="5"/>
  <c r="Z58" i="5" l="1"/>
  <c r="V59" i="5"/>
  <c r="H62" i="6"/>
  <c r="J60" i="5"/>
  <c r="R60" i="5"/>
  <c r="K60" i="5"/>
  <c r="S60" i="5"/>
  <c r="X61" i="5"/>
  <c r="P61" i="5"/>
  <c r="H61" i="5"/>
  <c r="D61" i="5"/>
  <c r="O61" i="5"/>
  <c r="G61" i="5"/>
  <c r="C61" i="5"/>
  <c r="B61" i="5"/>
  <c r="Y61" i="5"/>
  <c r="Q61" i="5"/>
  <c r="I61" i="5"/>
  <c r="A62" i="5"/>
  <c r="N61" i="5"/>
  <c r="F61" i="5"/>
  <c r="E61" i="5"/>
  <c r="AC60" i="5"/>
  <c r="U60" i="5"/>
  <c r="M60" i="5"/>
  <c r="W59" i="5"/>
  <c r="AA58" i="5"/>
  <c r="AB60" i="5"/>
  <c r="T60" i="5"/>
  <c r="L60" i="5"/>
  <c r="V60" i="5" l="1"/>
  <c r="Z59" i="5"/>
  <c r="H63" i="6"/>
  <c r="AA59" i="5"/>
  <c r="W60" i="5"/>
  <c r="AC61" i="5"/>
  <c r="M61" i="5"/>
  <c r="U61" i="5"/>
  <c r="O62" i="5"/>
  <c r="G62" i="5"/>
  <c r="C62" i="5"/>
  <c r="A63" i="5"/>
  <c r="N62" i="5"/>
  <c r="F62" i="5"/>
  <c r="B62" i="5"/>
  <c r="E62" i="5"/>
  <c r="D62" i="5"/>
  <c r="Q62" i="5"/>
  <c r="P62" i="5"/>
  <c r="I62" i="5"/>
  <c r="Y62" i="5"/>
  <c r="H62" i="5"/>
  <c r="X62" i="5"/>
  <c r="R61" i="5"/>
  <c r="J61" i="5"/>
  <c r="AB61" i="5"/>
  <c r="T61" i="5"/>
  <c r="L61" i="5"/>
  <c r="S61" i="5"/>
  <c r="K61" i="5"/>
  <c r="Z60" i="5" l="1"/>
  <c r="V61" i="5"/>
  <c r="H64" i="6"/>
  <c r="AB62" i="5"/>
  <c r="T62" i="5"/>
  <c r="L62" i="5"/>
  <c r="AC62" i="5"/>
  <c r="U62" i="5"/>
  <c r="M62" i="5"/>
  <c r="R62" i="5"/>
  <c r="J62" i="5"/>
  <c r="A64" i="5"/>
  <c r="N63" i="5"/>
  <c r="F63" i="5"/>
  <c r="B63" i="5"/>
  <c r="Y63" i="5"/>
  <c r="Q63" i="5"/>
  <c r="I63" i="5"/>
  <c r="E63" i="5"/>
  <c r="X63" i="5"/>
  <c r="P63" i="5"/>
  <c r="H63" i="5"/>
  <c r="O63" i="5"/>
  <c r="G63" i="5"/>
  <c r="D63" i="5"/>
  <c r="C63" i="5"/>
  <c r="W61" i="5"/>
  <c r="AA60" i="5"/>
  <c r="S62" i="5"/>
  <c r="K62" i="5"/>
  <c r="V62" i="5" l="1"/>
  <c r="Z61" i="5"/>
  <c r="H65" i="6"/>
  <c r="S63" i="5"/>
  <c r="K63" i="5"/>
  <c r="AA61" i="5"/>
  <c r="W62" i="5"/>
  <c r="AC63" i="5"/>
  <c r="U63" i="5"/>
  <c r="M63" i="5"/>
  <c r="R63" i="5"/>
  <c r="J63" i="5"/>
  <c r="Y64" i="5"/>
  <c r="Q64" i="5"/>
  <c r="I64" i="5"/>
  <c r="E64" i="5"/>
  <c r="X64" i="5"/>
  <c r="P64" i="5"/>
  <c r="H64" i="5"/>
  <c r="D64" i="5"/>
  <c r="C64" i="5"/>
  <c r="B64" i="5"/>
  <c r="G64" i="5"/>
  <c r="F64" i="5"/>
  <c r="O64" i="5"/>
  <c r="N64" i="5"/>
  <c r="A65" i="5"/>
  <c r="T63" i="5"/>
  <c r="L63" i="5"/>
  <c r="AB63" i="5"/>
  <c r="Z62" i="5" l="1"/>
  <c r="V63" i="5"/>
  <c r="H66" i="6"/>
  <c r="X65" i="5"/>
  <c r="P65" i="5"/>
  <c r="H65" i="5"/>
  <c r="D65" i="5"/>
  <c r="O65" i="5"/>
  <c r="G65" i="5"/>
  <c r="C65" i="5"/>
  <c r="A66" i="5"/>
  <c r="N65" i="5"/>
  <c r="F65" i="5"/>
  <c r="E65" i="5"/>
  <c r="Y65" i="5"/>
  <c r="I65" i="5"/>
  <c r="B65" i="5"/>
  <c r="Q65" i="5"/>
  <c r="S64" i="5"/>
  <c r="K64" i="5"/>
  <c r="AB64" i="5"/>
  <c r="T64" i="5"/>
  <c r="L64" i="5"/>
  <c r="AC64" i="5"/>
  <c r="U64" i="5"/>
  <c r="M64" i="5"/>
  <c r="R64" i="5"/>
  <c r="J64" i="5"/>
  <c r="W63" i="5"/>
  <c r="AA62" i="5"/>
  <c r="V64" i="5" l="1"/>
  <c r="Z63" i="5"/>
  <c r="H67" i="6"/>
  <c r="AB65" i="5"/>
  <c r="T65" i="5"/>
  <c r="L65" i="5"/>
  <c r="S65" i="5"/>
  <c r="K65" i="5"/>
  <c r="AA63" i="5"/>
  <c r="W64" i="5"/>
  <c r="J65" i="5"/>
  <c r="R65" i="5"/>
  <c r="AC65" i="5"/>
  <c r="U65" i="5"/>
  <c r="M65" i="5"/>
  <c r="O66" i="5"/>
  <c r="G66" i="5"/>
  <c r="C66" i="5"/>
  <c r="A67" i="5"/>
  <c r="N66" i="5"/>
  <c r="F66" i="5"/>
  <c r="B66" i="5"/>
  <c r="Y66" i="5"/>
  <c r="Q66" i="5"/>
  <c r="I66" i="5"/>
  <c r="X66" i="5"/>
  <c r="P66" i="5"/>
  <c r="H66" i="5"/>
  <c r="E66" i="5"/>
  <c r="D66" i="5"/>
  <c r="V65" i="5" l="1"/>
  <c r="Z64" i="5"/>
  <c r="H68" i="6"/>
  <c r="R66" i="5"/>
  <c r="J66" i="5"/>
  <c r="W65" i="5"/>
  <c r="AA64" i="5"/>
  <c r="AB66" i="5"/>
  <c r="L66" i="5"/>
  <c r="T66" i="5"/>
  <c r="A68" i="5"/>
  <c r="N67" i="5"/>
  <c r="F67" i="5"/>
  <c r="B67" i="5"/>
  <c r="Y67" i="5"/>
  <c r="Q67" i="5"/>
  <c r="I67" i="5"/>
  <c r="E67" i="5"/>
  <c r="D67" i="5"/>
  <c r="C67" i="5"/>
  <c r="P67" i="5"/>
  <c r="O67" i="5"/>
  <c r="X67" i="5"/>
  <c r="H67" i="5"/>
  <c r="G67" i="5"/>
  <c r="AC66" i="5"/>
  <c r="M66" i="5"/>
  <c r="U66" i="5"/>
  <c r="S66" i="5"/>
  <c r="K66" i="5"/>
  <c r="V66" i="5" l="1"/>
  <c r="Z65" i="5"/>
  <c r="H69" i="6"/>
  <c r="S67" i="5"/>
  <c r="K67" i="5"/>
  <c r="AB67" i="5"/>
  <c r="T67" i="5"/>
  <c r="L67" i="5"/>
  <c r="W66" i="5"/>
  <c r="AA65" i="5"/>
  <c r="AC67" i="5"/>
  <c r="U67" i="5"/>
  <c r="M67" i="5"/>
  <c r="R67" i="5"/>
  <c r="J67" i="5"/>
  <c r="Y68" i="5"/>
  <c r="Q68" i="5"/>
  <c r="I68" i="5"/>
  <c r="E68" i="5"/>
  <c r="X68" i="5"/>
  <c r="P68" i="5"/>
  <c r="H68" i="5"/>
  <c r="D68" i="5"/>
  <c r="O68" i="5"/>
  <c r="G68" i="5"/>
  <c r="A69" i="5"/>
  <c r="N68" i="5"/>
  <c r="F68" i="5"/>
  <c r="C68" i="5"/>
  <c r="B68" i="5"/>
  <c r="V67" i="5" l="1"/>
  <c r="Z66" i="5"/>
  <c r="H70" i="6"/>
  <c r="R68" i="5"/>
  <c r="J68" i="5"/>
  <c r="W67" i="5"/>
  <c r="AA66" i="5"/>
  <c r="AB68" i="5"/>
  <c r="T68" i="5"/>
  <c r="L68" i="5"/>
  <c r="AC68" i="5"/>
  <c r="U68" i="5"/>
  <c r="M68" i="5"/>
  <c r="S68" i="5"/>
  <c r="K68" i="5"/>
  <c r="X69" i="5"/>
  <c r="P69" i="5"/>
  <c r="H69" i="5"/>
  <c r="D69" i="5"/>
  <c r="O69" i="5"/>
  <c r="G69" i="5"/>
  <c r="C69" i="5"/>
  <c r="B69" i="5"/>
  <c r="Y69" i="5"/>
  <c r="Q69" i="5"/>
  <c r="I69" i="5"/>
  <c r="F69" i="5"/>
  <c r="E69" i="5"/>
  <c r="N69" i="5"/>
  <c r="A70" i="5"/>
  <c r="Z67" i="5" l="1"/>
  <c r="V68" i="5"/>
  <c r="H71" i="6"/>
  <c r="R69" i="5"/>
  <c r="J69" i="5"/>
  <c r="S69" i="5"/>
  <c r="K69" i="5"/>
  <c r="AB69" i="5"/>
  <c r="T69" i="5"/>
  <c r="L69" i="5"/>
  <c r="AA67" i="5"/>
  <c r="W68" i="5"/>
  <c r="X70" i="5"/>
  <c r="P70" i="5"/>
  <c r="H70" i="5"/>
  <c r="D70" i="5"/>
  <c r="O70" i="5"/>
  <c r="E70" i="5"/>
  <c r="A71" i="5"/>
  <c r="Y70" i="5"/>
  <c r="N70" i="5"/>
  <c r="I70" i="5"/>
  <c r="C70" i="5"/>
  <c r="G70" i="5"/>
  <c r="Q70" i="5"/>
  <c r="F70" i="5"/>
  <c r="B70" i="5"/>
  <c r="AC69" i="5"/>
  <c r="U69" i="5"/>
  <c r="M69" i="5"/>
  <c r="Z68" i="5" l="1"/>
  <c r="V69" i="5"/>
  <c r="H72" i="6"/>
  <c r="AB70" i="5"/>
  <c r="T70" i="5"/>
  <c r="L70" i="5"/>
  <c r="AA68" i="5"/>
  <c r="W69" i="5"/>
  <c r="J70" i="5"/>
  <c r="R70" i="5"/>
  <c r="S70" i="5"/>
  <c r="K70" i="5"/>
  <c r="O71" i="5"/>
  <c r="G71" i="5"/>
  <c r="C71" i="5"/>
  <c r="X71" i="5"/>
  <c r="H71" i="5"/>
  <c r="B71" i="5"/>
  <c r="Q71" i="5"/>
  <c r="F71" i="5"/>
  <c r="A72" i="5"/>
  <c r="I71" i="5"/>
  <c r="E71" i="5"/>
  <c r="Y71" i="5"/>
  <c r="D71" i="5"/>
  <c r="P71" i="5"/>
  <c r="N71" i="5"/>
  <c r="U70" i="5"/>
  <c r="AC70" i="5"/>
  <c r="M70" i="5"/>
  <c r="Z69" i="5" l="1"/>
  <c r="V70" i="5"/>
  <c r="H73" i="6"/>
  <c r="AC71" i="5"/>
  <c r="M71" i="5"/>
  <c r="U71" i="5"/>
  <c r="AB71" i="5"/>
  <c r="L71" i="5"/>
  <c r="T71" i="5"/>
  <c r="A73" i="5"/>
  <c r="N72" i="5"/>
  <c r="F72" i="5"/>
  <c r="B72" i="5"/>
  <c r="P72" i="5"/>
  <c r="E72" i="5"/>
  <c r="Y72" i="5"/>
  <c r="O72" i="5"/>
  <c r="I72" i="5"/>
  <c r="D72" i="5"/>
  <c r="X72" i="5"/>
  <c r="C72" i="5"/>
  <c r="Q72" i="5"/>
  <c r="H72" i="5"/>
  <c r="G72" i="5"/>
  <c r="S71" i="5"/>
  <c r="K71" i="5"/>
  <c r="R71" i="5"/>
  <c r="J71" i="5"/>
  <c r="W70" i="5"/>
  <c r="AA69" i="5"/>
  <c r="V71" i="5" l="1"/>
  <c r="Z70" i="5"/>
  <c r="H74" i="6"/>
  <c r="Y73" i="5"/>
  <c r="Q73" i="5"/>
  <c r="I73" i="5"/>
  <c r="E73" i="5"/>
  <c r="A74" i="5"/>
  <c r="X73" i="5"/>
  <c r="N73" i="5"/>
  <c r="H73" i="5"/>
  <c r="C73" i="5"/>
  <c r="G73" i="5"/>
  <c r="B73" i="5"/>
  <c r="P73" i="5"/>
  <c r="F73" i="5"/>
  <c r="O73" i="5"/>
  <c r="D73" i="5"/>
  <c r="AA70" i="5"/>
  <c r="W71" i="5"/>
  <c r="K72" i="5"/>
  <c r="S72" i="5"/>
  <c r="R72" i="5"/>
  <c r="J72" i="5"/>
  <c r="T72" i="5"/>
  <c r="L72" i="5"/>
  <c r="AB72" i="5"/>
  <c r="U72" i="5"/>
  <c r="M72" i="5"/>
  <c r="AC72" i="5"/>
  <c r="V72" i="5" l="1"/>
  <c r="Z71" i="5"/>
  <c r="H75" i="6"/>
  <c r="AB73" i="5"/>
  <c r="L73" i="5"/>
  <c r="T73" i="5"/>
  <c r="R73" i="5"/>
  <c r="J73" i="5"/>
  <c r="AC73" i="5"/>
  <c r="U73" i="5"/>
  <c r="M73" i="5"/>
  <c r="AA71" i="5"/>
  <c r="W72" i="5"/>
  <c r="S73" i="5"/>
  <c r="K73" i="5"/>
  <c r="X74" i="5"/>
  <c r="P74" i="5"/>
  <c r="H74" i="5"/>
  <c r="D74" i="5"/>
  <c r="Q74" i="5"/>
  <c r="F74" i="5"/>
  <c r="O74" i="5"/>
  <c r="E74" i="5"/>
  <c r="A75" i="5"/>
  <c r="I74" i="5"/>
  <c r="G74" i="5"/>
  <c r="Y74" i="5"/>
  <c r="C74" i="5"/>
  <c r="B74" i="5"/>
  <c r="N74" i="5"/>
  <c r="V73" i="5" l="1"/>
  <c r="Z72" i="5"/>
  <c r="H76" i="6"/>
  <c r="K74" i="5"/>
  <c r="S74" i="5"/>
  <c r="O75" i="5"/>
  <c r="G75" i="5"/>
  <c r="C75" i="5"/>
  <c r="A76" i="5"/>
  <c r="Y75" i="5"/>
  <c r="N75" i="5"/>
  <c r="I75" i="5"/>
  <c r="D75" i="5"/>
  <c r="X75" i="5"/>
  <c r="H75" i="5"/>
  <c r="B75" i="5"/>
  <c r="Q75" i="5"/>
  <c r="P75" i="5"/>
  <c r="F75" i="5"/>
  <c r="E75" i="5"/>
  <c r="J74" i="5"/>
  <c r="R74" i="5"/>
  <c r="AB74" i="5"/>
  <c r="T74" i="5"/>
  <c r="L74" i="5"/>
  <c r="U74" i="5"/>
  <c r="AC74" i="5"/>
  <c r="M74" i="5"/>
  <c r="W73" i="5"/>
  <c r="AA72" i="5"/>
  <c r="Z73" i="5" l="1"/>
  <c r="V74" i="5"/>
  <c r="H77" i="6"/>
  <c r="AC75" i="5"/>
  <c r="M75" i="5"/>
  <c r="U75" i="5"/>
  <c r="R75" i="5"/>
  <c r="J75" i="5"/>
  <c r="AA73" i="5"/>
  <c r="W74" i="5"/>
  <c r="T75" i="5"/>
  <c r="L75" i="5"/>
  <c r="AB75" i="5"/>
  <c r="A77" i="5"/>
  <c r="N76" i="5"/>
  <c r="F76" i="5"/>
  <c r="B76" i="5"/>
  <c r="Q76" i="5"/>
  <c r="G76" i="5"/>
  <c r="P76" i="5"/>
  <c r="E76" i="5"/>
  <c r="Y76" i="5"/>
  <c r="O76" i="5"/>
  <c r="D76" i="5"/>
  <c r="X76" i="5"/>
  <c r="C76" i="5"/>
  <c r="I76" i="5"/>
  <c r="H76" i="5"/>
  <c r="S75" i="5"/>
  <c r="K75" i="5"/>
  <c r="V75" i="5" l="1"/>
  <c r="Z74" i="5"/>
  <c r="H78" i="6"/>
  <c r="AB76" i="5"/>
  <c r="L76" i="5"/>
  <c r="T76" i="5"/>
  <c r="AA74" i="5"/>
  <c r="W75" i="5"/>
  <c r="K76" i="5"/>
  <c r="S76" i="5"/>
  <c r="R76" i="5"/>
  <c r="J76" i="5"/>
  <c r="Y77" i="5"/>
  <c r="Q77" i="5"/>
  <c r="I77" i="5"/>
  <c r="E77" i="5"/>
  <c r="A78" i="5"/>
  <c r="X77" i="5"/>
  <c r="O77" i="5"/>
  <c r="D77" i="5"/>
  <c r="N77" i="5"/>
  <c r="H77" i="5"/>
  <c r="C77" i="5"/>
  <c r="G77" i="5"/>
  <c r="P77" i="5"/>
  <c r="F77" i="5"/>
  <c r="B77" i="5"/>
  <c r="U76" i="5"/>
  <c r="M76" i="5"/>
  <c r="AC76" i="5"/>
  <c r="Z75" i="5" l="1"/>
  <c r="V76" i="5"/>
  <c r="H79" i="6"/>
  <c r="S77" i="5"/>
  <c r="K77" i="5"/>
  <c r="AC77" i="5"/>
  <c r="U77" i="5"/>
  <c r="M77" i="5"/>
  <c r="J77" i="5"/>
  <c r="R77" i="5"/>
  <c r="X78" i="5"/>
  <c r="P78" i="5"/>
  <c r="H78" i="5"/>
  <c r="D78" i="5"/>
  <c r="Q78" i="5"/>
  <c r="F78" i="5"/>
  <c r="O78" i="5"/>
  <c r="E78" i="5"/>
  <c r="Y78" i="5"/>
  <c r="N78" i="5"/>
  <c r="C78" i="5"/>
  <c r="B78" i="5"/>
  <c r="A79" i="5"/>
  <c r="I78" i="5"/>
  <c r="G78" i="5"/>
  <c r="AB77" i="5"/>
  <c r="T77" i="5"/>
  <c r="L77" i="5"/>
  <c r="W76" i="5"/>
  <c r="AA75" i="5"/>
  <c r="V77" i="5" l="1"/>
  <c r="Z76" i="5"/>
  <c r="H80" i="6"/>
  <c r="AA76" i="5"/>
  <c r="W77" i="5"/>
  <c r="U78" i="5"/>
  <c r="M78" i="5"/>
  <c r="AC78" i="5"/>
  <c r="O79" i="5"/>
  <c r="G79" i="5"/>
  <c r="C79" i="5"/>
  <c r="A80" i="5"/>
  <c r="Y79" i="5"/>
  <c r="N79" i="5"/>
  <c r="I79" i="5"/>
  <c r="D79" i="5"/>
  <c r="X79" i="5"/>
  <c r="H79" i="5"/>
  <c r="B79" i="5"/>
  <c r="Q79" i="5"/>
  <c r="F79" i="5"/>
  <c r="P79" i="5"/>
  <c r="E79" i="5"/>
  <c r="J78" i="5"/>
  <c r="R78" i="5"/>
  <c r="K78" i="5"/>
  <c r="S78" i="5"/>
  <c r="AB78" i="5"/>
  <c r="T78" i="5"/>
  <c r="L78" i="5"/>
  <c r="V78" i="5" l="1"/>
  <c r="Z77" i="5"/>
  <c r="H81" i="6"/>
  <c r="T79" i="5"/>
  <c r="AB79" i="5"/>
  <c r="L79" i="5"/>
  <c r="A81" i="5"/>
  <c r="N80" i="5"/>
  <c r="F80" i="5"/>
  <c r="B80" i="5"/>
  <c r="Q80" i="5"/>
  <c r="G80" i="5"/>
  <c r="P80" i="5"/>
  <c r="E80" i="5"/>
  <c r="I80" i="5"/>
  <c r="H80" i="5"/>
  <c r="O80" i="5"/>
  <c r="Y80" i="5"/>
  <c r="X80" i="5"/>
  <c r="D80" i="5"/>
  <c r="C80" i="5"/>
  <c r="AA77" i="5"/>
  <c r="W78" i="5"/>
  <c r="AC79" i="5"/>
  <c r="M79" i="5"/>
  <c r="U79" i="5"/>
  <c r="R79" i="5"/>
  <c r="J79" i="5"/>
  <c r="S79" i="5"/>
  <c r="K79" i="5"/>
  <c r="V79" i="5" l="1"/>
  <c r="Z78" i="5"/>
  <c r="H82" i="6"/>
  <c r="AB80" i="5"/>
  <c r="L80" i="5"/>
  <c r="T80" i="5"/>
  <c r="AA78" i="5"/>
  <c r="W79" i="5"/>
  <c r="K80" i="5"/>
  <c r="S80" i="5"/>
  <c r="R80" i="5"/>
  <c r="J80" i="5"/>
  <c r="Y81" i="5"/>
  <c r="Q81" i="5"/>
  <c r="I81" i="5"/>
  <c r="E81" i="5"/>
  <c r="O81" i="5"/>
  <c r="D81" i="5"/>
  <c r="A82" i="5"/>
  <c r="X81" i="5"/>
  <c r="N81" i="5"/>
  <c r="H81" i="5"/>
  <c r="C81" i="5"/>
  <c r="B81" i="5"/>
  <c r="G81" i="5"/>
  <c r="F81" i="5"/>
  <c r="P81" i="5"/>
  <c r="U80" i="5"/>
  <c r="AC80" i="5"/>
  <c r="M80" i="5"/>
  <c r="Z79" i="5" l="1"/>
  <c r="V80" i="5"/>
  <c r="H83" i="6"/>
  <c r="J81" i="5"/>
  <c r="R81" i="5"/>
  <c r="AC81" i="5"/>
  <c r="U81" i="5"/>
  <c r="M81" i="5"/>
  <c r="S81" i="5"/>
  <c r="K81" i="5"/>
  <c r="X82" i="5"/>
  <c r="P82" i="5"/>
  <c r="H82" i="5"/>
  <c r="D82" i="5"/>
  <c r="G82" i="5"/>
  <c r="B82" i="5"/>
  <c r="Q82" i="5"/>
  <c r="F82" i="5"/>
  <c r="O82" i="5"/>
  <c r="E82" i="5"/>
  <c r="Y82" i="5"/>
  <c r="N82" i="5"/>
  <c r="C82" i="5"/>
  <c r="I82" i="5"/>
  <c r="A83" i="5"/>
  <c r="T81" i="5"/>
  <c r="L81" i="5"/>
  <c r="AB81" i="5"/>
  <c r="W80" i="5"/>
  <c r="AA79" i="5"/>
  <c r="V81" i="5" l="1"/>
  <c r="Z80" i="5"/>
  <c r="H84" i="6"/>
  <c r="K82" i="5"/>
  <c r="S82" i="5"/>
  <c r="AA80" i="5"/>
  <c r="W81" i="5"/>
  <c r="O83" i="5"/>
  <c r="G83" i="5"/>
  <c r="C83" i="5"/>
  <c r="P83" i="5"/>
  <c r="E83" i="5"/>
  <c r="A84" i="5"/>
  <c r="Y83" i="5"/>
  <c r="N83" i="5"/>
  <c r="I83" i="5"/>
  <c r="D83" i="5"/>
  <c r="H83" i="5"/>
  <c r="Q83" i="5"/>
  <c r="F83" i="5"/>
  <c r="X83" i="5"/>
  <c r="B83" i="5"/>
  <c r="R82" i="5"/>
  <c r="J82" i="5"/>
  <c r="AC82" i="5"/>
  <c r="M82" i="5"/>
  <c r="U82" i="5"/>
  <c r="AB82" i="5"/>
  <c r="T82" i="5"/>
  <c r="L82" i="5"/>
  <c r="Z81" i="5" l="1"/>
  <c r="V82" i="5"/>
  <c r="H85" i="6"/>
  <c r="T83" i="5"/>
  <c r="AB83" i="5"/>
  <c r="L83" i="5"/>
  <c r="X84" i="5"/>
  <c r="N84" i="5"/>
  <c r="F84" i="5"/>
  <c r="B84" i="5"/>
  <c r="H84" i="5"/>
  <c r="C84" i="5"/>
  <c r="Y84" i="5"/>
  <c r="Q84" i="5"/>
  <c r="G84" i="5"/>
  <c r="I84" i="5"/>
  <c r="A85" i="5"/>
  <c r="E84" i="5"/>
  <c r="D84" i="5"/>
  <c r="P84" i="5"/>
  <c r="O84" i="5"/>
  <c r="J83" i="5"/>
  <c r="R83" i="5"/>
  <c r="U83" i="5"/>
  <c r="AC83" i="5"/>
  <c r="M83" i="5"/>
  <c r="S83" i="5"/>
  <c r="K83" i="5"/>
  <c r="AA81" i="5"/>
  <c r="W82" i="5"/>
  <c r="Z82" i="5" l="1"/>
  <c r="V83" i="5"/>
  <c r="H86" i="6"/>
  <c r="T84" i="5"/>
  <c r="L84" i="5"/>
  <c r="AB84" i="5"/>
  <c r="S84" i="5"/>
  <c r="K84" i="5"/>
  <c r="A86" i="5"/>
  <c r="N85" i="5"/>
  <c r="F85" i="5"/>
  <c r="B85" i="5"/>
  <c r="P85" i="5"/>
  <c r="E85" i="5"/>
  <c r="Y85" i="5"/>
  <c r="D85" i="5"/>
  <c r="X85" i="5"/>
  <c r="Q85" i="5"/>
  <c r="I85" i="5"/>
  <c r="C85" i="5"/>
  <c r="H85" i="5"/>
  <c r="G85" i="5"/>
  <c r="O85" i="5"/>
  <c r="R84" i="5"/>
  <c r="J84" i="5"/>
  <c r="AA82" i="5"/>
  <c r="W83" i="5"/>
  <c r="AC84" i="5"/>
  <c r="M84" i="5"/>
  <c r="U84" i="5"/>
  <c r="V84" i="5" l="1"/>
  <c r="Z83" i="5"/>
  <c r="H87" i="6"/>
  <c r="L85" i="5"/>
  <c r="T85" i="5"/>
  <c r="AB85" i="5"/>
  <c r="AA83" i="5"/>
  <c r="W84" i="5"/>
  <c r="K85" i="5"/>
  <c r="S85" i="5"/>
  <c r="R85" i="5"/>
  <c r="J85" i="5"/>
  <c r="Y86" i="5"/>
  <c r="Q86" i="5"/>
  <c r="I86" i="5"/>
  <c r="E86" i="5"/>
  <c r="A87" i="5"/>
  <c r="X86" i="5"/>
  <c r="N86" i="5"/>
  <c r="H86" i="5"/>
  <c r="C86" i="5"/>
  <c r="D86" i="5"/>
  <c r="P86" i="5"/>
  <c r="B86" i="5"/>
  <c r="G86" i="5"/>
  <c r="F86" i="5"/>
  <c r="O86" i="5"/>
  <c r="U85" i="5"/>
  <c r="AC85" i="5"/>
  <c r="M85" i="5"/>
  <c r="V85" i="5" l="1"/>
  <c r="Z84" i="5"/>
  <c r="H88" i="6"/>
  <c r="R86" i="5"/>
  <c r="J86" i="5"/>
  <c r="AC86" i="5"/>
  <c r="U86" i="5"/>
  <c r="M86" i="5"/>
  <c r="S86" i="5"/>
  <c r="K86" i="5"/>
  <c r="X87" i="5"/>
  <c r="P87" i="5"/>
  <c r="H87" i="5"/>
  <c r="D87" i="5"/>
  <c r="Q87" i="5"/>
  <c r="F87" i="5"/>
  <c r="Y87" i="5"/>
  <c r="C87" i="5"/>
  <c r="A88" i="5"/>
  <c r="O87" i="5"/>
  <c r="I87" i="5"/>
  <c r="B87" i="5"/>
  <c r="G87" i="5"/>
  <c r="E87" i="5"/>
  <c r="N87" i="5"/>
  <c r="T86" i="5"/>
  <c r="AB86" i="5"/>
  <c r="L86" i="5"/>
  <c r="AA84" i="5"/>
  <c r="W85" i="5"/>
  <c r="Z85" i="5" l="1"/>
  <c r="V86" i="5"/>
  <c r="H89" i="6"/>
  <c r="AA85" i="5"/>
  <c r="W86" i="5"/>
  <c r="R87" i="5"/>
  <c r="J87" i="5"/>
  <c r="O88" i="5"/>
  <c r="G88" i="5"/>
  <c r="C88" i="5"/>
  <c r="A89" i="5"/>
  <c r="Y88" i="5"/>
  <c r="N88" i="5"/>
  <c r="I88" i="5"/>
  <c r="D88" i="5"/>
  <c r="X88" i="5"/>
  <c r="Q88" i="5"/>
  <c r="B88" i="5"/>
  <c r="P88" i="5"/>
  <c r="H88" i="5"/>
  <c r="F88" i="5"/>
  <c r="E88" i="5"/>
  <c r="K87" i="5"/>
  <c r="S87" i="5"/>
  <c r="U87" i="5"/>
  <c r="AC87" i="5"/>
  <c r="M87" i="5"/>
  <c r="AB87" i="5"/>
  <c r="T87" i="5"/>
  <c r="L87" i="5"/>
  <c r="Z86" i="5" l="1"/>
  <c r="V87" i="5"/>
  <c r="H90" i="6"/>
  <c r="AC88" i="5"/>
  <c r="U88" i="5"/>
  <c r="M88" i="5"/>
  <c r="T88" i="5"/>
  <c r="AB88" i="5"/>
  <c r="L88" i="5"/>
  <c r="A90" i="5"/>
  <c r="N89" i="5"/>
  <c r="F89" i="5"/>
  <c r="B89" i="5"/>
  <c r="Q89" i="5"/>
  <c r="G89" i="5"/>
  <c r="X89" i="5"/>
  <c r="P89" i="5"/>
  <c r="I89" i="5"/>
  <c r="C89" i="5"/>
  <c r="O89" i="5"/>
  <c r="H89" i="5"/>
  <c r="E89" i="5"/>
  <c r="D89" i="5"/>
  <c r="Y89" i="5"/>
  <c r="AA86" i="5"/>
  <c r="W87" i="5"/>
  <c r="J88" i="5"/>
  <c r="R88" i="5"/>
  <c r="S88" i="5"/>
  <c r="K88" i="5"/>
  <c r="Z87" i="5" l="1"/>
  <c r="V88" i="5"/>
  <c r="H91" i="6"/>
  <c r="AB89" i="5"/>
  <c r="L89" i="5"/>
  <c r="T89" i="5"/>
  <c r="S89" i="5"/>
  <c r="K89" i="5"/>
  <c r="R89" i="5"/>
  <c r="J89" i="5"/>
  <c r="Y90" i="5"/>
  <c r="Q90" i="5"/>
  <c r="I90" i="5"/>
  <c r="E90" i="5"/>
  <c r="O90" i="5"/>
  <c r="D90" i="5"/>
  <c r="A91" i="5"/>
  <c r="P90" i="5"/>
  <c r="H90" i="5"/>
  <c r="B90" i="5"/>
  <c r="N90" i="5"/>
  <c r="G90" i="5"/>
  <c r="F90" i="5"/>
  <c r="C90" i="5"/>
  <c r="X90" i="5"/>
  <c r="W88" i="5"/>
  <c r="AA87" i="5"/>
  <c r="AC89" i="5"/>
  <c r="U89" i="5"/>
  <c r="M89" i="5"/>
  <c r="Z88" i="5" l="1"/>
  <c r="V89" i="5"/>
  <c r="H92" i="6"/>
  <c r="J90" i="5"/>
  <c r="R90" i="5"/>
  <c r="X91" i="5"/>
  <c r="P91" i="5"/>
  <c r="H91" i="5"/>
  <c r="D91" i="5"/>
  <c r="G91" i="5"/>
  <c r="B91" i="5"/>
  <c r="A92" i="5"/>
  <c r="O91" i="5"/>
  <c r="I91" i="5"/>
  <c r="N91" i="5"/>
  <c r="F91" i="5"/>
  <c r="E91" i="5"/>
  <c r="Q91" i="5"/>
  <c r="C91" i="5"/>
  <c r="Y91" i="5"/>
  <c r="AA88" i="5"/>
  <c r="W89" i="5"/>
  <c r="T90" i="5"/>
  <c r="AB90" i="5"/>
  <c r="L90" i="5"/>
  <c r="S90" i="5"/>
  <c r="K90" i="5"/>
  <c r="AC90" i="5"/>
  <c r="U90" i="5"/>
  <c r="M90" i="5"/>
  <c r="Z89" i="5" l="1"/>
  <c r="V90" i="5"/>
  <c r="H93" i="6"/>
  <c r="R91" i="5"/>
  <c r="J91" i="5"/>
  <c r="S91" i="5"/>
  <c r="K91" i="5"/>
  <c r="O92" i="5"/>
  <c r="G92" i="5"/>
  <c r="C92" i="5"/>
  <c r="P92" i="5"/>
  <c r="E92" i="5"/>
  <c r="N92" i="5"/>
  <c r="H92" i="5"/>
  <c r="F92" i="5"/>
  <c r="D92" i="5"/>
  <c r="A93" i="5"/>
  <c r="Q92" i="5"/>
  <c r="B92" i="5"/>
  <c r="Y92" i="5"/>
  <c r="X92" i="5"/>
  <c r="I92" i="5"/>
  <c r="AB91" i="5"/>
  <c r="T91" i="5"/>
  <c r="L91" i="5"/>
  <c r="AA89" i="5"/>
  <c r="W90" i="5"/>
  <c r="AC91" i="5"/>
  <c r="M91" i="5"/>
  <c r="U91" i="5"/>
  <c r="Z90" i="5" l="1"/>
  <c r="V91" i="5"/>
  <c r="U92" i="5"/>
  <c r="AC92" i="5"/>
  <c r="M92" i="5"/>
  <c r="J92" i="5"/>
  <c r="R92" i="5"/>
  <c r="A94" i="5"/>
  <c r="N93" i="5"/>
  <c r="F93" i="5"/>
  <c r="B93" i="5"/>
  <c r="X93" i="5"/>
  <c r="H93" i="5"/>
  <c r="C93" i="5"/>
  <c r="O93" i="5"/>
  <c r="G93" i="5"/>
  <c r="E93" i="5"/>
  <c r="Q93" i="5"/>
  <c r="D93" i="5"/>
  <c r="P93" i="5"/>
  <c r="Y93" i="5"/>
  <c r="I93" i="5"/>
  <c r="S92" i="5"/>
  <c r="K92" i="5"/>
  <c r="AA90" i="5"/>
  <c r="W91" i="5"/>
  <c r="AB92" i="5"/>
  <c r="T92" i="5"/>
  <c r="L92" i="5"/>
  <c r="Z91" i="5" l="1"/>
  <c r="V92" i="5"/>
  <c r="R93" i="5"/>
  <c r="J93" i="5"/>
  <c r="Y94" i="5"/>
  <c r="Q94" i="5"/>
  <c r="I94" i="5"/>
  <c r="E94" i="5"/>
  <c r="P94" i="5"/>
  <c r="F94" i="5"/>
  <c r="N94" i="5"/>
  <c r="G94" i="5"/>
  <c r="D94" i="5"/>
  <c r="C94" i="5"/>
  <c r="O94" i="5"/>
  <c r="B94" i="5"/>
  <c r="X94" i="5"/>
  <c r="H94" i="5"/>
  <c r="W92" i="5"/>
  <c r="AA91" i="5"/>
  <c r="S93" i="5"/>
  <c r="K93" i="5"/>
  <c r="AB93" i="5"/>
  <c r="T93" i="5"/>
  <c r="L93" i="5"/>
  <c r="AC93" i="5"/>
  <c r="M93" i="5"/>
  <c r="U93" i="5"/>
  <c r="Z92" i="5" l="1"/>
  <c r="V93" i="5"/>
  <c r="AC94" i="5"/>
  <c r="AC3" i="5" s="1"/>
  <c r="E7" i="6" s="1"/>
  <c r="U94" i="5"/>
  <c r="U3" i="5" s="1"/>
  <c r="E6" i="6" s="1"/>
  <c r="M94" i="5"/>
  <c r="M3" i="5" s="1"/>
  <c r="E5" i="6" s="1"/>
  <c r="W93" i="5"/>
  <c r="AA92" i="5"/>
  <c r="K94" i="5"/>
  <c r="K3" i="5" s="1"/>
  <c r="C5" i="6" s="1"/>
  <c r="S94" i="5"/>
  <c r="S3" i="5" s="1"/>
  <c r="C6" i="6" s="1"/>
  <c r="R94" i="5"/>
  <c r="R3" i="5" s="1"/>
  <c r="B6" i="6" s="1"/>
  <c r="J94" i="5"/>
  <c r="J3" i="5" s="1"/>
  <c r="B5" i="6" s="1"/>
  <c r="AB94" i="5"/>
  <c r="AB3" i="5" s="1"/>
  <c r="D7" i="6" s="1"/>
  <c r="T94" i="5"/>
  <c r="T3" i="5" s="1"/>
  <c r="D6" i="6" s="1"/>
  <c r="L94" i="5"/>
  <c r="L3" i="5" s="1"/>
  <c r="D5" i="6" s="1"/>
  <c r="D8" i="6" l="1"/>
  <c r="D10" i="6" s="1"/>
  <c r="V94" i="5"/>
  <c r="Z94" i="5" s="1"/>
  <c r="Z3" i="5" s="1"/>
  <c r="B7" i="6" s="1"/>
  <c r="B8" i="6" s="1"/>
  <c r="Z93" i="5"/>
  <c r="W94" i="5"/>
  <c r="AA94" i="5" s="1"/>
  <c r="AA93" i="5"/>
  <c r="E8" i="6"/>
  <c r="D9" i="6" l="1"/>
  <c r="AA3" i="5"/>
  <c r="C7" i="6" s="1"/>
  <c r="C8" i="6" s="1"/>
  <c r="K3" i="6"/>
  <c r="Q3" i="6" s="1"/>
  <c r="K90" i="6"/>
  <c r="K86" i="6"/>
  <c r="K82" i="6"/>
  <c r="K78" i="6"/>
  <c r="K74" i="6"/>
  <c r="K70" i="6"/>
  <c r="K66" i="6"/>
  <c r="K62" i="6"/>
  <c r="K58" i="6"/>
  <c r="K54" i="6"/>
  <c r="K50" i="6"/>
  <c r="K46" i="6"/>
  <c r="K42" i="6"/>
  <c r="K38" i="6"/>
  <c r="K34" i="6"/>
  <c r="K30" i="6"/>
  <c r="K26" i="6"/>
  <c r="K22" i="6"/>
  <c r="K18" i="6"/>
  <c r="K14" i="6"/>
  <c r="K10" i="6"/>
  <c r="K6" i="6"/>
  <c r="K93" i="6"/>
  <c r="K89" i="6"/>
  <c r="K85" i="6"/>
  <c r="K81" i="6"/>
  <c r="K77" i="6"/>
  <c r="K73" i="6"/>
  <c r="K69" i="6"/>
  <c r="K65" i="6"/>
  <c r="K61" i="6"/>
  <c r="K57" i="6"/>
  <c r="K53" i="6"/>
  <c r="K49" i="6"/>
  <c r="K45" i="6"/>
  <c r="K41" i="6"/>
  <c r="K37" i="6"/>
  <c r="K33" i="6"/>
  <c r="K29" i="6"/>
  <c r="K25" i="6"/>
  <c r="K21" i="6"/>
  <c r="K17" i="6"/>
  <c r="K13" i="6"/>
  <c r="K9" i="6"/>
  <c r="K4" i="6"/>
  <c r="Q4" i="6" s="1"/>
  <c r="K92" i="6"/>
  <c r="K88" i="6"/>
  <c r="K84" i="6"/>
  <c r="K80" i="6"/>
  <c r="K76" i="6"/>
  <c r="K72" i="6"/>
  <c r="K68" i="6"/>
  <c r="K64" i="6"/>
  <c r="K60" i="6"/>
  <c r="K56" i="6"/>
  <c r="K52" i="6"/>
  <c r="K48" i="6"/>
  <c r="K44" i="6"/>
  <c r="K40" i="6"/>
  <c r="K36" i="6"/>
  <c r="K32" i="6"/>
  <c r="K28" i="6"/>
  <c r="K24" i="6"/>
  <c r="K20" i="6"/>
  <c r="K16" i="6"/>
  <c r="K12" i="6"/>
  <c r="K8" i="6"/>
  <c r="K5" i="6"/>
  <c r="K91" i="6"/>
  <c r="K87" i="6"/>
  <c r="K83" i="6"/>
  <c r="K79" i="6"/>
  <c r="K75" i="6"/>
  <c r="K71" i="6"/>
  <c r="K67" i="6"/>
  <c r="K63" i="6"/>
  <c r="K59" i="6"/>
  <c r="K55" i="6"/>
  <c r="K51" i="6"/>
  <c r="K47" i="6"/>
  <c r="K43" i="6"/>
  <c r="K39" i="6"/>
  <c r="K35" i="6"/>
  <c r="K31" i="6"/>
  <c r="K27" i="6"/>
  <c r="K23" i="6"/>
  <c r="K19" i="6"/>
  <c r="K15" i="6"/>
  <c r="K11" i="6"/>
  <c r="K7" i="6"/>
  <c r="B10" i="6"/>
  <c r="B9" i="6"/>
  <c r="E10" i="6"/>
  <c r="E9" i="6"/>
  <c r="C10" i="6" l="1"/>
  <c r="C9" i="6"/>
  <c r="Q5" i="6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L3" i="6"/>
  <c r="R3" i="6" s="1"/>
  <c r="I3" i="6"/>
  <c r="O3" i="6" s="1"/>
  <c r="L4" i="6" l="1"/>
  <c r="L5" i="6" s="1"/>
  <c r="L6" i="6" s="1"/>
  <c r="L7" i="6" s="1"/>
  <c r="L8" i="6" s="1"/>
  <c r="L9" i="6" s="1"/>
  <c r="L10" i="6" s="1"/>
  <c r="L11" i="6" s="1"/>
  <c r="L12" i="6" s="1"/>
  <c r="L13" i="6" s="1"/>
  <c r="L14" i="6" s="1"/>
  <c r="L15" i="6" s="1"/>
  <c r="L16" i="6" s="1"/>
  <c r="L17" i="6" s="1"/>
  <c r="L18" i="6" s="1"/>
  <c r="L19" i="6" s="1"/>
  <c r="L20" i="6" s="1"/>
  <c r="L21" i="6" s="1"/>
  <c r="L22" i="6" s="1"/>
  <c r="L23" i="6" s="1"/>
  <c r="L24" i="6" s="1"/>
  <c r="L25" i="6" s="1"/>
  <c r="L26" i="6" s="1"/>
  <c r="L27" i="6" s="1"/>
  <c r="L28" i="6" s="1"/>
  <c r="L29" i="6" s="1"/>
  <c r="L30" i="6" s="1"/>
  <c r="L31" i="6" s="1"/>
  <c r="L32" i="6" s="1"/>
  <c r="L33" i="6" s="1"/>
  <c r="L34" i="6" s="1"/>
  <c r="L35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L70" i="6" s="1"/>
  <c r="L71" i="6" s="1"/>
  <c r="L72" i="6" s="1"/>
  <c r="L73" i="6" s="1"/>
  <c r="L74" i="6" s="1"/>
  <c r="L75" i="6" s="1"/>
  <c r="L76" i="6" s="1"/>
  <c r="L77" i="6" s="1"/>
  <c r="L78" i="6" s="1"/>
  <c r="L79" i="6" s="1"/>
  <c r="L80" i="6" s="1"/>
  <c r="L81" i="6" s="1"/>
  <c r="L82" i="6" s="1"/>
  <c r="L83" i="6" s="1"/>
  <c r="L84" i="6" s="1"/>
  <c r="L85" i="6" s="1"/>
  <c r="L86" i="6" s="1"/>
  <c r="L87" i="6" s="1"/>
  <c r="L88" i="6" s="1"/>
  <c r="L89" i="6" s="1"/>
  <c r="L90" i="6" s="1"/>
  <c r="L91" i="6" s="1"/>
  <c r="L92" i="6" s="1"/>
  <c r="L93" i="6" s="1"/>
  <c r="J3" i="6"/>
  <c r="P3" i="6" s="1"/>
  <c r="I4" i="6"/>
  <c r="O4" i="6" s="1"/>
  <c r="R4" i="6" l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R86" i="6" s="1"/>
  <c r="R87" i="6" s="1"/>
  <c r="R88" i="6" s="1"/>
  <c r="R89" i="6" s="1"/>
  <c r="R90" i="6" s="1"/>
  <c r="R91" i="6" s="1"/>
  <c r="R92" i="6" s="1"/>
  <c r="R93" i="6" s="1"/>
  <c r="J4" i="6"/>
  <c r="I5" i="6"/>
  <c r="I6" i="6" s="1"/>
  <c r="I7" i="6" s="1"/>
  <c r="I8" i="6" s="1"/>
  <c r="I9" i="6" s="1"/>
  <c r="P4" i="6" l="1"/>
  <c r="J5" i="6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O5" i="6"/>
  <c r="O6" i="6" s="1"/>
  <c r="O7" i="6" s="1"/>
  <c r="O8" i="6" s="1"/>
  <c r="O9" i="6" s="1"/>
  <c r="I10" i="6"/>
  <c r="P5" i="6" l="1"/>
  <c r="P6" i="6" s="1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O10" i="6"/>
  <c r="I11" i="6"/>
  <c r="I12" i="6" s="1"/>
  <c r="I13" i="6" s="1"/>
  <c r="I14" i="6" s="1"/>
  <c r="I15" i="6" s="1"/>
  <c r="I16" i="6" s="1"/>
  <c r="I17" i="6" l="1"/>
  <c r="O11" i="6"/>
  <c r="O12" i="6" s="1"/>
  <c r="O13" i="6" s="1"/>
  <c r="O14" i="6" s="1"/>
  <c r="O15" i="6" s="1"/>
  <c r="O16" i="6" s="1"/>
  <c r="O17" i="6" l="1"/>
  <c r="I18" i="6"/>
  <c r="O18" i="6" l="1"/>
  <c r="I19" i="6"/>
  <c r="O19" i="6" l="1"/>
  <c r="I20" i="6"/>
  <c r="O20" i="6" l="1"/>
  <c r="I21" i="6"/>
  <c r="O21" i="6" l="1"/>
  <c r="I22" i="6"/>
  <c r="O22" i="6" l="1"/>
  <c r="I23" i="6"/>
  <c r="O23" i="6" l="1"/>
  <c r="I24" i="6"/>
  <c r="O24" i="6" l="1"/>
  <c r="I25" i="6"/>
  <c r="O25" i="6" l="1"/>
  <c r="I26" i="6"/>
  <c r="I27" i="6" s="1"/>
  <c r="I28" i="6" l="1"/>
  <c r="O26" i="6"/>
  <c r="O27" i="6" s="1"/>
  <c r="O28" i="6" l="1"/>
  <c r="I29" i="6"/>
  <c r="O29" i="6" l="1"/>
  <c r="I30" i="6"/>
  <c r="O30" i="6" l="1"/>
  <c r="I31" i="6"/>
  <c r="O31" i="6" l="1"/>
  <c r="I32" i="6"/>
  <c r="O32" i="6" l="1"/>
  <c r="I33" i="6"/>
  <c r="O33" i="6" l="1"/>
  <c r="I34" i="6"/>
  <c r="I35" i="6" s="1"/>
  <c r="I36" i="6" l="1"/>
  <c r="O34" i="6"/>
  <c r="O35" i="6" s="1"/>
  <c r="O36" i="6" l="1"/>
  <c r="I37" i="6"/>
  <c r="O37" i="6" l="1"/>
  <c r="I38" i="6"/>
  <c r="O38" i="6" l="1"/>
  <c r="I39" i="6"/>
  <c r="O39" i="6" l="1"/>
  <c r="I40" i="6"/>
  <c r="O40" i="6" l="1"/>
  <c r="I41" i="6"/>
  <c r="O41" i="6" l="1"/>
  <c r="I42" i="6"/>
  <c r="I43" i="6" s="1"/>
  <c r="I44" i="6" l="1"/>
  <c r="O42" i="6"/>
  <c r="O43" i="6" s="1"/>
  <c r="O44" i="6" l="1"/>
  <c r="I45" i="6"/>
  <c r="O45" i="6" l="1"/>
  <c r="I46" i="6"/>
  <c r="I47" i="6" s="1"/>
  <c r="I48" i="6" l="1"/>
  <c r="O46" i="6"/>
  <c r="O47" i="6" s="1"/>
  <c r="O48" i="6" l="1"/>
  <c r="I49" i="6"/>
  <c r="O49" i="6" l="1"/>
  <c r="I50" i="6"/>
  <c r="I51" i="6" s="1"/>
  <c r="I52" i="6" l="1"/>
  <c r="O50" i="6"/>
  <c r="O51" i="6" s="1"/>
  <c r="O52" i="6" l="1"/>
  <c r="I53" i="6"/>
  <c r="O53" i="6" l="1"/>
  <c r="I54" i="6"/>
  <c r="O54" i="6" l="1"/>
  <c r="I55" i="6"/>
  <c r="O55" i="6" l="1"/>
  <c r="I56" i="6"/>
  <c r="O56" i="6" l="1"/>
  <c r="I57" i="6"/>
  <c r="O57" i="6" l="1"/>
  <c r="I58" i="6"/>
  <c r="I59" i="6" s="1"/>
  <c r="I60" i="6" l="1"/>
  <c r="O58" i="6"/>
  <c r="O59" i="6" s="1"/>
  <c r="O60" i="6" l="1"/>
  <c r="I61" i="6"/>
  <c r="O61" i="6" l="1"/>
  <c r="I62" i="6"/>
  <c r="O62" i="6" l="1"/>
  <c r="I63" i="6"/>
  <c r="O63" i="6" l="1"/>
  <c r="I64" i="6"/>
  <c r="O64" i="6" l="1"/>
  <c r="I65" i="6"/>
  <c r="O65" i="6" l="1"/>
  <c r="I66" i="6"/>
  <c r="I67" i="6" s="1"/>
  <c r="I68" i="6" l="1"/>
  <c r="O66" i="6"/>
  <c r="O67" i="6" s="1"/>
  <c r="O68" i="6" l="1"/>
  <c r="I69" i="6"/>
  <c r="O69" i="6" l="1"/>
  <c r="I70" i="6"/>
  <c r="O70" i="6" l="1"/>
  <c r="I71" i="6"/>
  <c r="O71" i="6" l="1"/>
  <c r="I72" i="6"/>
  <c r="O72" i="6" l="1"/>
  <c r="I73" i="6"/>
  <c r="O73" i="6" l="1"/>
  <c r="I74" i="6"/>
  <c r="I75" i="6" s="1"/>
  <c r="I76" i="6" l="1"/>
  <c r="O74" i="6"/>
  <c r="O75" i="6" s="1"/>
  <c r="O76" i="6" l="1"/>
  <c r="I77" i="6"/>
  <c r="O77" i="6" l="1"/>
  <c r="I78" i="6"/>
  <c r="O78" i="6" l="1"/>
  <c r="I79" i="6"/>
  <c r="O79" i="6" l="1"/>
  <c r="I80" i="6"/>
  <c r="O80" i="6" l="1"/>
  <c r="I81" i="6"/>
  <c r="O81" i="6" l="1"/>
  <c r="I82" i="6"/>
  <c r="O82" i="6" l="1"/>
  <c r="I83" i="6"/>
  <c r="O83" i="6" l="1"/>
  <c r="I84" i="6"/>
  <c r="O84" i="6" l="1"/>
  <c r="I85" i="6"/>
  <c r="O85" i="6" l="1"/>
  <c r="I86" i="6"/>
  <c r="I87" i="6" s="1"/>
  <c r="I88" i="6" l="1"/>
  <c r="O86" i="6"/>
  <c r="O87" i="6" s="1"/>
  <c r="O88" i="6" l="1"/>
  <c r="I89" i="6"/>
  <c r="O89" i="6" l="1"/>
  <c r="I90" i="6"/>
  <c r="O90" i="6" l="1"/>
  <c r="I91" i="6"/>
  <c r="O91" i="6" l="1"/>
  <c r="I92" i="6"/>
  <c r="O92" i="6" l="1"/>
  <c r="I93" i="6"/>
  <c r="O93" i="6" s="1"/>
</calcChain>
</file>

<file path=xl/sharedStrings.xml><?xml version="1.0" encoding="utf-8"?>
<sst xmlns="http://schemas.openxmlformats.org/spreadsheetml/2006/main" count="621" uniqueCount="106">
  <si>
    <t>guardar el archivo con el nombre del equipo analizado</t>
  </si>
  <si>
    <t xml:space="preserve">escribir los resultados de TODOS los partidos jugados por el equipo bajo análisis en la hoja "datos" </t>
  </si>
  <si>
    <t>filtrar los juegos como local</t>
  </si>
  <si>
    <t>copiar las columnas A-J de los datos filtrados, y pegarlos en las columnas A-J en la hoja "desglose"</t>
  </si>
  <si>
    <t>filtrar los juegos como visitante</t>
  </si>
  <si>
    <t>copiar las columnas A-J de los datos filtrados, y pegarlos en las columnas L-U en la hoja "desglose"</t>
  </si>
  <si>
    <t>quitar los filtros</t>
  </si>
  <si>
    <t>revisar los resultados en la hoja "sumario de distribuciones elegidas"</t>
  </si>
  <si>
    <t>guardar el libro</t>
  </si>
  <si>
    <t>enviar el libro a través del grupo UNITED 26</t>
  </si>
  <si>
    <t>Fecha</t>
  </si>
  <si>
    <t>Ëlo-Runyan</t>
  </si>
  <si>
    <t>Equipo</t>
  </si>
  <si>
    <t>Local/Vistiante</t>
  </si>
  <si>
    <t>Resultado</t>
  </si>
  <si>
    <t>GF</t>
  </si>
  <si>
    <t>GA</t>
  </si>
  <si>
    <t>Ëlo rival</t>
  </si>
  <si>
    <t>Rival</t>
  </si>
  <si>
    <t>Tipo</t>
  </si>
  <si>
    <t>K</t>
  </si>
  <si>
    <t>G</t>
  </si>
  <si>
    <t>p</t>
  </si>
  <si>
    <t>type</t>
  </si>
  <si>
    <t>Argentina</t>
  </si>
  <si>
    <t>Home</t>
  </si>
  <si>
    <t>W</t>
  </si>
  <si>
    <t>Panama</t>
  </si>
  <si>
    <t>Friendly</t>
  </si>
  <si>
    <t>World cup</t>
  </si>
  <si>
    <t>Curazao</t>
  </si>
  <si>
    <t>Continental</t>
  </si>
  <si>
    <t>Australia</t>
  </si>
  <si>
    <t>Qualifier</t>
  </si>
  <si>
    <t>Away</t>
  </si>
  <si>
    <t>Indonesia</t>
  </si>
  <si>
    <t>Other</t>
  </si>
  <si>
    <t>Ecuador</t>
  </si>
  <si>
    <t>Bolivia</t>
  </si>
  <si>
    <t>Paraguay</t>
  </si>
  <si>
    <t>Peru</t>
  </si>
  <si>
    <t>L</t>
  </si>
  <si>
    <t>Uruguay</t>
  </si>
  <si>
    <t>Brasil</t>
  </si>
  <si>
    <t>El Salvador</t>
  </si>
  <si>
    <t>Costa Rica</t>
  </si>
  <si>
    <t>Guatemala</t>
  </si>
  <si>
    <t>Canada</t>
  </si>
  <si>
    <t>Chile</t>
  </si>
  <si>
    <t>D</t>
  </si>
  <si>
    <t>Colombia</t>
  </si>
  <si>
    <t>Venezuela</t>
  </si>
  <si>
    <t>Puerto Rico</t>
  </si>
  <si>
    <t>Angola</t>
  </si>
  <si>
    <t>Mauritania</t>
  </si>
  <si>
    <t>Zambia</t>
  </si>
  <si>
    <t>GF-local</t>
  </si>
  <si>
    <t>GA-local</t>
  </si>
  <si>
    <t>GF-visitante</t>
  </si>
  <si>
    <t>GA-visitante</t>
  </si>
  <si>
    <t>no. Juegos</t>
  </si>
  <si>
    <t>total goles</t>
  </si>
  <si>
    <t>mínimo goles</t>
  </si>
  <si>
    <t>máximo goles</t>
  </si>
  <si>
    <t>promedio goles</t>
  </si>
  <si>
    <t>varianza goles</t>
  </si>
  <si>
    <t>diferencia relativa</t>
  </si>
  <si>
    <t>OBSERVADOS</t>
  </si>
  <si>
    <t>POISSON</t>
  </si>
  <si>
    <t>Ji cuadradas</t>
  </si>
  <si>
    <t>BINOMIAL</t>
  </si>
  <si>
    <t>BINOMIAL NEGATIVA</t>
  </si>
  <si>
    <t>LOCAL</t>
  </si>
  <si>
    <t>VISTANTE</t>
  </si>
  <si>
    <t>goles</t>
  </si>
  <si>
    <t>GF-vsitante</t>
  </si>
  <si>
    <t>GA-vsitante</t>
  </si>
  <si>
    <t>GF-esperados-Poisson</t>
  </si>
  <si>
    <t>GA-esperados-Poisson</t>
  </si>
  <si>
    <t>GF-esperados-bin</t>
  </si>
  <si>
    <t>GA-esperados-bin</t>
  </si>
  <si>
    <t>GF-esperados-bon</t>
  </si>
  <si>
    <t>GF-esperados-BinNeg</t>
  </si>
  <si>
    <t>GA-esperados-BinNeg</t>
  </si>
  <si>
    <t>media &lt; varianza</t>
  </si>
  <si>
    <t>media &gt; varianza</t>
  </si>
  <si>
    <t>poisson</t>
  </si>
  <si>
    <t>binomial</t>
  </si>
  <si>
    <t>Binomial negativa</t>
  </si>
  <si>
    <t>distribución</t>
  </si>
  <si>
    <t>parámetro 1</t>
  </si>
  <si>
    <t>parámetro 2</t>
  </si>
  <si>
    <t>Honduras</t>
  </si>
  <si>
    <t>F(GF-local)</t>
  </si>
  <si>
    <t>F(GA-local)</t>
  </si>
  <si>
    <t>F(GF-visitante)</t>
  </si>
  <si>
    <t>F(GA-visitante)</t>
  </si>
  <si>
    <t>Iceland</t>
  </si>
  <si>
    <t>Algeria</t>
  </si>
  <si>
    <t>World Cup</t>
  </si>
  <si>
    <t>Austria</t>
  </si>
  <si>
    <t>Jordan</t>
  </si>
  <si>
    <t>Cape Verte</t>
  </si>
  <si>
    <t>Egypt</t>
  </si>
  <si>
    <t>Helvetia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</si>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</sst>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/>
    <xf numFmtId="0" fontId="2" fillId="2" borderId="0"/>
  </cellStyleXfs>
  <cellXfs count="2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0" xfId="1" applyFont="1"/>
    <xf numFmtId="9" fontId="0" fillId="0" borderId="0" xfId="0" applyNumberFormat="1"/>
    <xf numFmtId="1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/>
    <xf numFmtId="0" fontId="2" fillId="2" borderId="0" xfId="2" applyAlignment="1">
      <alignment horizontal="center"/>
    </xf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2" borderId="2" xfId="2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10" xfId="2" applyBorder="1" applyAlignment="1">
      <alignment horizontal="center"/>
    </xf>
  </cellXfs>
  <cellStyles count="3">
    <cellStyle name="Neutral" xfId="2" builtinId="28"/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0" sqref="B10"/>
    </sheetView>
  </sheetViews>
  <sheetFormatPr baseColWidth="10" defaultRowHeight="14.25"/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2</v>
      </c>
    </row>
    <row r="4" spans="1:2">
      <c r="A4">
        <v>4</v>
      </c>
      <c r="B4" t="s">
        <v>3</v>
      </c>
    </row>
    <row r="5" spans="1:2">
      <c r="A5">
        <v>5</v>
      </c>
      <c r="B5" t="s">
        <v>4</v>
      </c>
    </row>
    <row r="6" spans="1:2">
      <c r="A6">
        <v>6</v>
      </c>
      <c r="B6" t="s">
        <v>5</v>
      </c>
    </row>
    <row r="7" spans="1:2">
      <c r="A7">
        <v>7</v>
      </c>
      <c r="B7" t="s">
        <v>6</v>
      </c>
    </row>
    <row r="8" spans="1:2">
      <c r="A8">
        <v>8</v>
      </c>
      <c r="B8" t="s">
        <v>7</v>
      </c>
    </row>
    <row r="9" spans="1:2">
      <c r="A9">
        <v>9</v>
      </c>
      <c r="B9" t="s">
        <v>8</v>
      </c>
    </row>
    <row r="10" spans="1:2">
      <c r="A10">
        <v>10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"/>
  <sheetViews>
    <sheetView topLeftCell="A13" workbookViewId="0">
      <selection activeCell="G47" sqref="G47"/>
    </sheetView>
  </sheetViews>
  <sheetFormatPr baseColWidth="10" defaultRowHeight="14.25"/>
  <cols>
    <col min="2" max="2" width="11.625" customWidth="1"/>
  </cols>
  <sheetData>
    <row r="1" spans="1:1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s="1" t="s">
        <v>19</v>
      </c>
      <c r="K1" t="s">
        <v>20</v>
      </c>
      <c r="L1" t="s">
        <v>21</v>
      </c>
      <c r="M1" t="s">
        <v>22</v>
      </c>
      <c r="O1" t="s">
        <v>23</v>
      </c>
      <c r="P1" t="s">
        <v>20</v>
      </c>
    </row>
    <row r="2" spans="1:16">
      <c r="A2" s="2">
        <v>45008</v>
      </c>
      <c r="B2">
        <v>2145</v>
      </c>
      <c r="C2" t="s">
        <v>24</v>
      </c>
      <c r="D2" t="s">
        <v>25</v>
      </c>
      <c r="E2" t="s">
        <v>26</v>
      </c>
      <c r="F2" s="14">
        <v>2</v>
      </c>
      <c r="G2" s="14">
        <v>0</v>
      </c>
      <c r="H2">
        <v>1640</v>
      </c>
      <c r="I2" t="s">
        <v>27</v>
      </c>
      <c r="J2" s="15" t="s">
        <v>28</v>
      </c>
      <c r="K2">
        <f t="shared" ref="K2:K39" si="0">+VLOOKUP(J2,$O$2:$P$6,2,0)</f>
        <v>20</v>
      </c>
      <c r="L2">
        <f t="shared" ref="L2:L38" si="1">+IF(ABS(F2-G2)&lt;=1,1,IF(ABS(F2-G2)=2,1.5,(11+ABS(F2-G2))/8))</f>
        <v>1.5</v>
      </c>
      <c r="M2">
        <f t="shared" ref="M2:M38" si="2">(1+10^((H2-B2)/400))^-1</f>
        <v>0.94819206111044974</v>
      </c>
      <c r="O2" t="s">
        <v>29</v>
      </c>
      <c r="P2">
        <v>60</v>
      </c>
    </row>
    <row r="3" spans="1:16">
      <c r="A3" s="2">
        <v>45013</v>
      </c>
      <c r="B3">
        <f t="shared" ref="B3:B38" si="3">+B2+K2*L2*(IF(E2="W",1,IF(E2="D",0.5,0))-M2)</f>
        <v>2146.5542381666864</v>
      </c>
      <c r="C3" t="s">
        <v>24</v>
      </c>
      <c r="D3" t="s">
        <v>25</v>
      </c>
      <c r="E3" t="s">
        <v>26</v>
      </c>
      <c r="F3" s="14">
        <v>7</v>
      </c>
      <c r="G3" s="14">
        <v>0</v>
      </c>
      <c r="H3">
        <v>1350</v>
      </c>
      <c r="I3" t="s">
        <v>30</v>
      </c>
      <c r="J3" s="15" t="s">
        <v>28</v>
      </c>
      <c r="K3">
        <f t="shared" si="0"/>
        <v>20</v>
      </c>
      <c r="L3">
        <f t="shared" si="1"/>
        <v>2.25</v>
      </c>
      <c r="M3">
        <f t="shared" si="2"/>
        <v>0.98990266194081267</v>
      </c>
      <c r="O3" t="s">
        <v>31</v>
      </c>
      <c r="P3">
        <v>50</v>
      </c>
    </row>
    <row r="4" spans="1:16">
      <c r="A4" s="2">
        <v>45092</v>
      </c>
      <c r="B4">
        <f t="shared" si="3"/>
        <v>2147.0086183793501</v>
      </c>
      <c r="C4" t="s">
        <v>24</v>
      </c>
      <c r="D4" t="s">
        <v>25</v>
      </c>
      <c r="E4" t="s">
        <v>26</v>
      </c>
      <c r="F4" s="14">
        <v>2</v>
      </c>
      <c r="G4" s="14">
        <v>0</v>
      </c>
      <c r="H4">
        <v>1772</v>
      </c>
      <c r="I4" t="s">
        <v>32</v>
      </c>
      <c r="J4" s="15" t="s">
        <v>28</v>
      </c>
      <c r="K4">
        <f t="shared" si="0"/>
        <v>20</v>
      </c>
      <c r="L4">
        <f t="shared" si="1"/>
        <v>1.5</v>
      </c>
      <c r="M4">
        <f t="shared" si="2"/>
        <v>0.89648111206009906</v>
      </c>
      <c r="O4" t="s">
        <v>33</v>
      </c>
      <c r="P4">
        <v>40</v>
      </c>
    </row>
    <row r="5" spans="1:16">
      <c r="A5" s="2">
        <v>45096</v>
      </c>
      <c r="B5">
        <f t="shared" si="3"/>
        <v>2150.1141850175472</v>
      </c>
      <c r="C5" t="s">
        <v>24</v>
      </c>
      <c r="D5" t="s">
        <v>34</v>
      </c>
      <c r="E5" t="s">
        <v>26</v>
      </c>
      <c r="F5" s="14">
        <v>2</v>
      </c>
      <c r="G5" s="14">
        <v>0</v>
      </c>
      <c r="H5">
        <v>1287</v>
      </c>
      <c r="I5" t="s">
        <v>35</v>
      </c>
      <c r="J5" s="15" t="s">
        <v>28</v>
      </c>
      <c r="K5">
        <f t="shared" si="0"/>
        <v>20</v>
      </c>
      <c r="L5">
        <f t="shared" si="1"/>
        <v>1.5</v>
      </c>
      <c r="M5">
        <f t="shared" si="2"/>
        <v>0.99309434233561567</v>
      </c>
      <c r="O5" t="s">
        <v>36</v>
      </c>
      <c r="P5">
        <v>30</v>
      </c>
    </row>
    <row r="6" spans="1:16">
      <c r="A6" s="2">
        <v>45176</v>
      </c>
      <c r="B6">
        <f t="shared" si="3"/>
        <v>2150.3213547474788</v>
      </c>
      <c r="C6" t="s">
        <v>24</v>
      </c>
      <c r="D6" t="s">
        <v>25</v>
      </c>
      <c r="E6" t="s">
        <v>26</v>
      </c>
      <c r="F6" s="14">
        <v>1</v>
      </c>
      <c r="G6" s="14">
        <v>0</v>
      </c>
      <c r="H6">
        <v>1849</v>
      </c>
      <c r="I6" t="s">
        <v>37</v>
      </c>
      <c r="J6" s="15" t="s">
        <v>33</v>
      </c>
      <c r="K6">
        <f t="shared" si="0"/>
        <v>40</v>
      </c>
      <c r="L6">
        <f t="shared" si="1"/>
        <v>1</v>
      </c>
      <c r="M6">
        <f t="shared" si="2"/>
        <v>0.84999287180952765</v>
      </c>
      <c r="O6" t="s">
        <v>28</v>
      </c>
      <c r="P6">
        <v>20</v>
      </c>
    </row>
    <row r="7" spans="1:16">
      <c r="A7" s="2">
        <v>45181</v>
      </c>
      <c r="B7">
        <f t="shared" si="3"/>
        <v>2156.3216398750978</v>
      </c>
      <c r="C7" t="s">
        <v>24</v>
      </c>
      <c r="D7" t="s">
        <v>34</v>
      </c>
      <c r="E7" t="s">
        <v>26</v>
      </c>
      <c r="F7" s="14">
        <v>3</v>
      </c>
      <c r="G7" s="14">
        <v>0</v>
      </c>
      <c r="H7">
        <v>1596</v>
      </c>
      <c r="I7" t="s">
        <v>38</v>
      </c>
      <c r="J7" s="15" t="s">
        <v>33</v>
      </c>
      <c r="K7">
        <f t="shared" si="0"/>
        <v>40</v>
      </c>
      <c r="L7">
        <f t="shared" si="1"/>
        <v>1.75</v>
      </c>
      <c r="M7">
        <f t="shared" si="2"/>
        <v>0.96178161159040365</v>
      </c>
    </row>
    <row r="8" spans="1:16">
      <c r="A8" s="2">
        <v>45211</v>
      </c>
      <c r="B8">
        <f t="shared" si="3"/>
        <v>2158.9969270637694</v>
      </c>
      <c r="C8" t="s">
        <v>24</v>
      </c>
      <c r="D8" t="s">
        <v>25</v>
      </c>
      <c r="E8" t="s">
        <v>26</v>
      </c>
      <c r="F8" s="14">
        <v>1</v>
      </c>
      <c r="G8" s="14">
        <v>0</v>
      </c>
      <c r="H8">
        <v>1703</v>
      </c>
      <c r="I8" t="s">
        <v>39</v>
      </c>
      <c r="J8" s="15" t="s">
        <v>33</v>
      </c>
      <c r="K8">
        <f t="shared" si="0"/>
        <v>40</v>
      </c>
      <c r="L8">
        <f t="shared" si="1"/>
        <v>1</v>
      </c>
      <c r="M8">
        <f t="shared" si="2"/>
        <v>0.93244885680215928</v>
      </c>
    </row>
    <row r="9" spans="1:16">
      <c r="A9" s="2">
        <v>45216</v>
      </c>
      <c r="B9">
        <f t="shared" si="3"/>
        <v>2161.698972791683</v>
      </c>
      <c r="C9" t="s">
        <v>24</v>
      </c>
      <c r="D9" t="s">
        <v>34</v>
      </c>
      <c r="E9" t="s">
        <v>26</v>
      </c>
      <c r="F9" s="14">
        <v>2</v>
      </c>
      <c r="G9" s="14">
        <v>0</v>
      </c>
      <c r="H9">
        <v>1786</v>
      </c>
      <c r="I9" t="s">
        <v>40</v>
      </c>
      <c r="J9" s="15" t="s">
        <v>33</v>
      </c>
      <c r="K9">
        <f t="shared" si="0"/>
        <v>40</v>
      </c>
      <c r="L9">
        <f t="shared" si="1"/>
        <v>1.5</v>
      </c>
      <c r="M9">
        <f t="shared" si="2"/>
        <v>0.89684932939534057</v>
      </c>
    </row>
    <row r="10" spans="1:16">
      <c r="A10" s="2">
        <v>45246</v>
      </c>
      <c r="B10">
        <f t="shared" si="3"/>
        <v>2167.8880130279626</v>
      </c>
      <c r="C10" t="s">
        <v>24</v>
      </c>
      <c r="D10" t="s">
        <v>25</v>
      </c>
      <c r="E10" t="s">
        <v>41</v>
      </c>
      <c r="F10" s="14">
        <v>0</v>
      </c>
      <c r="G10" s="14">
        <v>2</v>
      </c>
      <c r="H10">
        <v>2002</v>
      </c>
      <c r="I10" t="s">
        <v>42</v>
      </c>
      <c r="J10" s="15" t="s">
        <v>33</v>
      </c>
      <c r="K10">
        <f t="shared" si="0"/>
        <v>40</v>
      </c>
      <c r="L10">
        <f t="shared" si="1"/>
        <v>1.5</v>
      </c>
      <c r="M10">
        <f t="shared" si="2"/>
        <v>0.72210519095346049</v>
      </c>
    </row>
    <row r="11" spans="1:16">
      <c r="A11" s="2">
        <v>45251</v>
      </c>
      <c r="B11">
        <f t="shared" si="3"/>
        <v>2124.5617015707548</v>
      </c>
      <c r="C11" t="s">
        <v>24</v>
      </c>
      <c r="D11" t="s">
        <v>34</v>
      </c>
      <c r="E11" t="s">
        <v>26</v>
      </c>
      <c r="F11" s="14">
        <v>1</v>
      </c>
      <c r="G11" s="14">
        <v>0</v>
      </c>
      <c r="H11">
        <v>2011</v>
      </c>
      <c r="I11" t="s">
        <v>43</v>
      </c>
      <c r="J11" s="15" t="s">
        <v>33</v>
      </c>
      <c r="K11">
        <f t="shared" si="0"/>
        <v>40</v>
      </c>
      <c r="L11">
        <f t="shared" si="1"/>
        <v>1</v>
      </c>
      <c r="M11">
        <f t="shared" si="2"/>
        <v>0.65784684849179498</v>
      </c>
    </row>
    <row r="12" spans="1:16">
      <c r="A12" s="2">
        <v>45373</v>
      </c>
      <c r="B12">
        <f t="shared" si="3"/>
        <v>2138.2478276310831</v>
      </c>
      <c r="C12" t="s">
        <v>24</v>
      </c>
      <c r="D12" t="s">
        <v>25</v>
      </c>
      <c r="E12" t="s">
        <v>26</v>
      </c>
      <c r="F12" s="14">
        <v>3</v>
      </c>
      <c r="G12" s="14">
        <v>0</v>
      </c>
      <c r="H12">
        <v>1394</v>
      </c>
      <c r="I12" t="s">
        <v>44</v>
      </c>
      <c r="J12" s="15" t="s">
        <v>28</v>
      </c>
      <c r="K12">
        <f t="shared" si="0"/>
        <v>20</v>
      </c>
      <c r="L12">
        <f t="shared" si="1"/>
        <v>1.75</v>
      </c>
      <c r="M12">
        <f t="shared" si="2"/>
        <v>0.98640325577291343</v>
      </c>
    </row>
    <row r="13" spans="1:16">
      <c r="A13" s="2">
        <v>45377</v>
      </c>
      <c r="B13">
        <f t="shared" si="3"/>
        <v>2138.7237136790309</v>
      </c>
      <c r="C13" t="s">
        <v>24</v>
      </c>
      <c r="D13" t="s">
        <v>25</v>
      </c>
      <c r="E13" t="s">
        <v>26</v>
      </c>
      <c r="F13" s="14">
        <v>3</v>
      </c>
      <c r="G13" s="14">
        <v>1</v>
      </c>
      <c r="H13">
        <v>1605</v>
      </c>
      <c r="I13" t="s">
        <v>45</v>
      </c>
      <c r="J13" s="15" t="s">
        <v>28</v>
      </c>
      <c r="K13">
        <f t="shared" si="0"/>
        <v>20</v>
      </c>
      <c r="L13">
        <f t="shared" si="1"/>
        <v>1.5</v>
      </c>
      <c r="M13">
        <f t="shared" si="2"/>
        <v>0.95573814262198076</v>
      </c>
    </row>
    <row r="14" spans="1:16">
      <c r="A14" s="2">
        <v>45452</v>
      </c>
      <c r="B14">
        <f t="shared" si="3"/>
        <v>2140.0515694003716</v>
      </c>
      <c r="C14" t="s">
        <v>24</v>
      </c>
      <c r="D14" t="s">
        <v>25</v>
      </c>
      <c r="E14" t="s">
        <v>26</v>
      </c>
      <c r="F14" s="14">
        <v>1</v>
      </c>
      <c r="G14" s="14">
        <v>0</v>
      </c>
      <c r="H14">
        <v>1869</v>
      </c>
      <c r="I14" t="s">
        <v>37</v>
      </c>
      <c r="J14" s="15" t="s">
        <v>28</v>
      </c>
      <c r="K14">
        <f t="shared" si="0"/>
        <v>20</v>
      </c>
      <c r="L14">
        <f t="shared" si="1"/>
        <v>1</v>
      </c>
      <c r="M14">
        <f t="shared" si="2"/>
        <v>0.82639614687257212</v>
      </c>
    </row>
    <row r="15" spans="1:16">
      <c r="A15" s="2">
        <v>45457</v>
      </c>
      <c r="B15">
        <f t="shared" si="3"/>
        <v>2143.5236464629202</v>
      </c>
      <c r="C15" t="s">
        <v>24</v>
      </c>
      <c r="D15" t="s">
        <v>25</v>
      </c>
      <c r="E15" t="s">
        <v>26</v>
      </c>
      <c r="F15" s="14">
        <v>4</v>
      </c>
      <c r="G15" s="14">
        <v>1</v>
      </c>
      <c r="H15">
        <v>1486</v>
      </c>
      <c r="I15" t="s">
        <v>46</v>
      </c>
      <c r="J15" s="15" t="s">
        <v>28</v>
      </c>
      <c r="K15">
        <f t="shared" si="0"/>
        <v>20</v>
      </c>
      <c r="L15">
        <f t="shared" si="1"/>
        <v>1.75</v>
      </c>
      <c r="M15">
        <f t="shared" si="2"/>
        <v>0.97779560399038767</v>
      </c>
    </row>
    <row r="16" spans="1:16">
      <c r="A16" s="2">
        <v>45463</v>
      </c>
      <c r="B16">
        <f t="shared" si="3"/>
        <v>2144.3008003232567</v>
      </c>
      <c r="C16" t="s">
        <v>24</v>
      </c>
      <c r="D16" t="s">
        <v>25</v>
      </c>
      <c r="E16" t="s">
        <v>26</v>
      </c>
      <c r="F16" s="14">
        <v>2</v>
      </c>
      <c r="G16" s="14">
        <v>0</v>
      </c>
      <c r="H16">
        <v>1714</v>
      </c>
      <c r="I16" t="s">
        <v>47</v>
      </c>
      <c r="J16" s="15" t="s">
        <v>31</v>
      </c>
      <c r="K16">
        <f t="shared" si="0"/>
        <v>50</v>
      </c>
      <c r="L16">
        <f t="shared" si="1"/>
        <v>1.5</v>
      </c>
      <c r="M16">
        <f t="shared" si="2"/>
        <v>0.9225143748323269</v>
      </c>
    </row>
    <row r="17" spans="1:13">
      <c r="A17" s="2">
        <v>45468</v>
      </c>
      <c r="B17">
        <f t="shared" si="3"/>
        <v>2150.112222210832</v>
      </c>
      <c r="C17" t="s">
        <v>24</v>
      </c>
      <c r="D17" t="s">
        <v>25</v>
      </c>
      <c r="E17" t="s">
        <v>26</v>
      </c>
      <c r="F17" s="14">
        <v>1</v>
      </c>
      <c r="G17" s="14">
        <v>0</v>
      </c>
      <c r="H17">
        <v>1722</v>
      </c>
      <c r="I17" t="s">
        <v>48</v>
      </c>
      <c r="J17" s="15" t="s">
        <v>31</v>
      </c>
      <c r="K17">
        <f t="shared" si="0"/>
        <v>50</v>
      </c>
      <c r="L17">
        <f t="shared" si="1"/>
        <v>1</v>
      </c>
      <c r="M17">
        <f t="shared" si="2"/>
        <v>0.92160900880008878</v>
      </c>
    </row>
    <row r="18" spans="1:13">
      <c r="A18" s="2">
        <v>45472</v>
      </c>
      <c r="B18">
        <f t="shared" si="3"/>
        <v>2154.0317717708276</v>
      </c>
      <c r="C18" t="s">
        <v>24</v>
      </c>
      <c r="D18" t="s">
        <v>25</v>
      </c>
      <c r="E18" t="s">
        <v>26</v>
      </c>
      <c r="F18" s="14">
        <v>2</v>
      </c>
      <c r="G18" s="14">
        <v>0</v>
      </c>
      <c r="H18">
        <v>1709</v>
      </c>
      <c r="I18" t="s">
        <v>40</v>
      </c>
      <c r="J18" s="15" t="s">
        <v>31</v>
      </c>
      <c r="K18">
        <f t="shared" si="0"/>
        <v>50</v>
      </c>
      <c r="L18">
        <f t="shared" si="1"/>
        <v>1.5</v>
      </c>
      <c r="M18">
        <f t="shared" si="2"/>
        <v>0.92836284631609078</v>
      </c>
    </row>
    <row r="19" spans="1:13">
      <c r="A19" s="2">
        <v>45477</v>
      </c>
      <c r="B19">
        <f t="shared" si="3"/>
        <v>2159.4045582971207</v>
      </c>
      <c r="C19" t="s">
        <v>24</v>
      </c>
      <c r="D19" t="s">
        <v>25</v>
      </c>
      <c r="E19" t="s">
        <v>49</v>
      </c>
      <c r="F19" s="14">
        <v>1</v>
      </c>
      <c r="G19" s="14">
        <v>1</v>
      </c>
      <c r="H19">
        <v>1871</v>
      </c>
      <c r="I19" t="s">
        <v>37</v>
      </c>
      <c r="J19" s="15" t="s">
        <v>31</v>
      </c>
      <c r="K19">
        <f t="shared" si="0"/>
        <v>50</v>
      </c>
      <c r="L19">
        <f t="shared" si="1"/>
        <v>1</v>
      </c>
      <c r="M19">
        <f t="shared" si="2"/>
        <v>0.84026351895702867</v>
      </c>
    </row>
    <row r="20" spans="1:13">
      <c r="A20" s="2">
        <v>45482</v>
      </c>
      <c r="B20">
        <f t="shared" si="3"/>
        <v>2142.3913823492694</v>
      </c>
      <c r="C20" t="s">
        <v>24</v>
      </c>
      <c r="D20" t="s">
        <v>25</v>
      </c>
      <c r="E20" t="s">
        <v>26</v>
      </c>
      <c r="F20" s="14">
        <v>2</v>
      </c>
      <c r="G20" s="14">
        <v>0</v>
      </c>
      <c r="H20">
        <v>1739</v>
      </c>
      <c r="I20" t="s">
        <v>47</v>
      </c>
      <c r="J20" s="15" t="s">
        <v>31</v>
      </c>
      <c r="K20">
        <f t="shared" si="0"/>
        <v>50</v>
      </c>
      <c r="L20">
        <f t="shared" si="1"/>
        <v>1.5</v>
      </c>
      <c r="M20">
        <f t="shared" si="2"/>
        <v>0.91069149399537286</v>
      </c>
    </row>
    <row r="21" spans="1:13">
      <c r="A21" s="2">
        <v>45487</v>
      </c>
      <c r="B21">
        <f t="shared" si="3"/>
        <v>2149.0895202996167</v>
      </c>
      <c r="C21" t="s">
        <v>24</v>
      </c>
      <c r="D21" t="s">
        <v>25</v>
      </c>
      <c r="E21" t="s">
        <v>26</v>
      </c>
      <c r="F21" s="14">
        <v>1</v>
      </c>
      <c r="G21" s="14">
        <v>0</v>
      </c>
      <c r="H21">
        <v>2050</v>
      </c>
      <c r="I21" t="s">
        <v>50</v>
      </c>
      <c r="J21" s="15" t="s">
        <v>31</v>
      </c>
      <c r="K21">
        <f t="shared" si="0"/>
        <v>50</v>
      </c>
      <c r="L21">
        <f t="shared" si="1"/>
        <v>1</v>
      </c>
      <c r="M21">
        <f t="shared" si="2"/>
        <v>0.63885665170682215</v>
      </c>
    </row>
    <row r="22" spans="1:13">
      <c r="A22" s="2">
        <v>45540</v>
      </c>
      <c r="B22">
        <f t="shared" si="3"/>
        <v>2167.1466877142757</v>
      </c>
      <c r="C22" t="s">
        <v>24</v>
      </c>
      <c r="D22" t="s">
        <v>25</v>
      </c>
      <c r="E22" t="s">
        <v>26</v>
      </c>
      <c r="F22" s="14">
        <v>3</v>
      </c>
      <c r="G22" s="14">
        <v>0</v>
      </c>
      <c r="H22">
        <v>1720</v>
      </c>
      <c r="I22" t="s">
        <v>48</v>
      </c>
      <c r="J22" s="15" t="s">
        <v>33</v>
      </c>
      <c r="K22">
        <f t="shared" si="0"/>
        <v>40</v>
      </c>
      <c r="L22">
        <f t="shared" si="1"/>
        <v>1.75</v>
      </c>
      <c r="M22">
        <f t="shared" si="2"/>
        <v>0.92916829996328254</v>
      </c>
    </row>
    <row r="23" spans="1:13">
      <c r="A23" s="2">
        <v>45545</v>
      </c>
      <c r="B23">
        <f t="shared" si="3"/>
        <v>2172.104906716846</v>
      </c>
      <c r="C23" t="s">
        <v>24</v>
      </c>
      <c r="D23" t="s">
        <v>34</v>
      </c>
      <c r="E23" t="s">
        <v>41</v>
      </c>
      <c r="F23" s="14">
        <v>1</v>
      </c>
      <c r="G23" s="14">
        <v>2</v>
      </c>
      <c r="H23">
        <v>2060</v>
      </c>
      <c r="I23" t="s">
        <v>50</v>
      </c>
      <c r="J23" s="15" t="s">
        <v>33</v>
      </c>
      <c r="K23">
        <f t="shared" si="0"/>
        <v>40</v>
      </c>
      <c r="L23">
        <f t="shared" si="1"/>
        <v>1</v>
      </c>
      <c r="M23">
        <f t="shared" si="2"/>
        <v>0.65595680347796137</v>
      </c>
    </row>
    <row r="24" spans="1:13">
      <c r="A24" s="2">
        <v>45575</v>
      </c>
      <c r="B24">
        <f t="shared" si="3"/>
        <v>2145.8666345777274</v>
      </c>
      <c r="C24" t="s">
        <v>24</v>
      </c>
      <c r="D24" t="s">
        <v>34</v>
      </c>
      <c r="E24" t="s">
        <v>49</v>
      </c>
      <c r="F24" s="14">
        <v>1</v>
      </c>
      <c r="G24" s="14">
        <v>1</v>
      </c>
      <c r="H24">
        <v>1783</v>
      </c>
      <c r="I24" t="s">
        <v>51</v>
      </c>
      <c r="J24" s="15" t="s">
        <v>33</v>
      </c>
      <c r="K24">
        <f t="shared" si="0"/>
        <v>40</v>
      </c>
      <c r="L24">
        <f t="shared" si="1"/>
        <v>1</v>
      </c>
      <c r="M24">
        <f t="shared" si="2"/>
        <v>0.88981259339811369</v>
      </c>
    </row>
    <row r="25" spans="1:13">
      <c r="A25" s="2">
        <v>45580</v>
      </c>
      <c r="B25">
        <f t="shared" si="3"/>
        <v>2130.2741308418026</v>
      </c>
      <c r="C25" t="s">
        <v>24</v>
      </c>
      <c r="D25" t="s">
        <v>25</v>
      </c>
      <c r="E25" t="s">
        <v>26</v>
      </c>
      <c r="F25" s="14">
        <v>6</v>
      </c>
      <c r="G25" s="14">
        <v>0</v>
      </c>
      <c r="H25">
        <v>1668</v>
      </c>
      <c r="I25" t="s">
        <v>38</v>
      </c>
      <c r="J25" s="15" t="s">
        <v>33</v>
      </c>
      <c r="K25">
        <f t="shared" si="0"/>
        <v>40</v>
      </c>
      <c r="L25">
        <f t="shared" si="1"/>
        <v>2.125</v>
      </c>
      <c r="M25">
        <f t="shared" si="2"/>
        <v>0.93468963658746418</v>
      </c>
    </row>
    <row r="26" spans="1:13">
      <c r="A26" s="2">
        <v>45610</v>
      </c>
      <c r="B26">
        <f t="shared" si="3"/>
        <v>2135.8255117318681</v>
      </c>
      <c r="C26" t="s">
        <v>24</v>
      </c>
      <c r="D26" t="s">
        <v>34</v>
      </c>
      <c r="E26" t="s">
        <v>41</v>
      </c>
      <c r="F26" s="14">
        <v>1</v>
      </c>
      <c r="G26" s="14">
        <v>2</v>
      </c>
      <c r="H26">
        <v>1776</v>
      </c>
      <c r="I26" t="s">
        <v>39</v>
      </c>
      <c r="J26" s="15" t="s">
        <v>33</v>
      </c>
      <c r="K26">
        <f t="shared" si="0"/>
        <v>40</v>
      </c>
      <c r="L26">
        <f t="shared" si="1"/>
        <v>1</v>
      </c>
      <c r="M26">
        <f t="shared" si="2"/>
        <v>0.88808443784292801</v>
      </c>
    </row>
    <row r="27" spans="1:13">
      <c r="A27" s="2">
        <v>45615</v>
      </c>
      <c r="B27">
        <f t="shared" si="3"/>
        <v>2100.302134218151</v>
      </c>
      <c r="C27" t="s">
        <v>24</v>
      </c>
      <c r="D27" t="s">
        <v>25</v>
      </c>
      <c r="E27" t="s">
        <v>26</v>
      </c>
      <c r="F27" s="14">
        <v>1</v>
      </c>
      <c r="G27" s="14">
        <v>0</v>
      </c>
      <c r="H27">
        <v>1722</v>
      </c>
      <c r="I27" t="s">
        <v>40</v>
      </c>
      <c r="J27" s="15" t="s">
        <v>33</v>
      </c>
      <c r="K27">
        <f t="shared" si="0"/>
        <v>40</v>
      </c>
      <c r="L27">
        <f t="shared" si="1"/>
        <v>1</v>
      </c>
      <c r="M27">
        <f t="shared" si="2"/>
        <v>0.89822738028033622</v>
      </c>
    </row>
    <row r="28" spans="1:13">
      <c r="A28" s="2">
        <v>45737</v>
      </c>
      <c r="B28">
        <f t="shared" si="3"/>
        <v>2104.3730390069377</v>
      </c>
      <c r="C28" t="s">
        <v>24</v>
      </c>
      <c r="D28" t="s">
        <v>34</v>
      </c>
      <c r="E28" t="s">
        <v>26</v>
      </c>
      <c r="F28" s="14">
        <v>1</v>
      </c>
      <c r="G28" s="14">
        <v>0</v>
      </c>
      <c r="H28">
        <v>1931</v>
      </c>
      <c r="I28" t="s">
        <v>42</v>
      </c>
      <c r="J28" s="15" t="s">
        <v>33</v>
      </c>
      <c r="K28">
        <f t="shared" si="0"/>
        <v>40</v>
      </c>
      <c r="L28">
        <f t="shared" si="1"/>
        <v>1</v>
      </c>
      <c r="M28">
        <f t="shared" si="2"/>
        <v>0.73066821115631742</v>
      </c>
    </row>
    <row r="29" spans="1:13">
      <c r="A29" s="2">
        <v>45741</v>
      </c>
      <c r="B29">
        <f t="shared" si="3"/>
        <v>2115.1463105606849</v>
      </c>
      <c r="C29" t="s">
        <v>24</v>
      </c>
      <c r="D29" t="s">
        <v>25</v>
      </c>
      <c r="E29" t="s">
        <v>26</v>
      </c>
      <c r="F29" s="14">
        <v>4</v>
      </c>
      <c r="G29" s="14">
        <v>1</v>
      </c>
      <c r="H29">
        <v>1993</v>
      </c>
      <c r="I29" t="s">
        <v>43</v>
      </c>
      <c r="J29" s="15" t="s">
        <v>33</v>
      </c>
      <c r="K29">
        <f t="shared" si="0"/>
        <v>40</v>
      </c>
      <c r="L29">
        <f t="shared" si="1"/>
        <v>1.75</v>
      </c>
      <c r="M29">
        <f t="shared" si="2"/>
        <v>0.66888151940369345</v>
      </c>
    </row>
    <row r="30" spans="1:13">
      <c r="A30" s="2">
        <v>45813</v>
      </c>
      <c r="B30">
        <f t="shared" si="3"/>
        <v>2138.3246042024266</v>
      </c>
      <c r="C30" t="s">
        <v>24</v>
      </c>
      <c r="D30" t="s">
        <v>34</v>
      </c>
      <c r="E30" t="s">
        <v>26</v>
      </c>
      <c r="F30" s="14">
        <v>1</v>
      </c>
      <c r="G30" s="14">
        <v>0</v>
      </c>
      <c r="H30">
        <v>1717</v>
      </c>
      <c r="I30" t="s">
        <v>48</v>
      </c>
      <c r="J30" s="15" t="s">
        <v>33</v>
      </c>
      <c r="K30">
        <f t="shared" si="0"/>
        <v>40</v>
      </c>
      <c r="L30">
        <f t="shared" si="1"/>
        <v>1</v>
      </c>
      <c r="M30">
        <f t="shared" si="2"/>
        <v>0.91873926140334494</v>
      </c>
    </row>
    <row r="31" spans="1:13">
      <c r="A31" s="2">
        <v>45818</v>
      </c>
      <c r="B31">
        <f t="shared" si="3"/>
        <v>2141.5750337462928</v>
      </c>
      <c r="C31" t="s">
        <v>24</v>
      </c>
      <c r="D31" t="s">
        <v>25</v>
      </c>
      <c r="E31" t="s">
        <v>49</v>
      </c>
      <c r="F31" s="14">
        <v>1</v>
      </c>
      <c r="G31" s="14">
        <v>1</v>
      </c>
      <c r="H31">
        <v>1950</v>
      </c>
      <c r="I31" t="s">
        <v>50</v>
      </c>
      <c r="J31" s="15" t="s">
        <v>33</v>
      </c>
      <c r="K31">
        <f t="shared" si="0"/>
        <v>40</v>
      </c>
      <c r="L31">
        <f t="shared" si="1"/>
        <v>1</v>
      </c>
      <c r="M31">
        <f t="shared" si="2"/>
        <v>0.7507833523574482</v>
      </c>
    </row>
    <row r="32" spans="1:13">
      <c r="A32" s="2">
        <v>45904</v>
      </c>
      <c r="B32">
        <f t="shared" si="3"/>
        <v>2131.5436996519948</v>
      </c>
      <c r="C32" t="s">
        <v>24</v>
      </c>
      <c r="D32" t="s">
        <v>25</v>
      </c>
      <c r="E32" t="s">
        <v>26</v>
      </c>
      <c r="F32" s="14">
        <v>3</v>
      </c>
      <c r="G32" s="14">
        <v>0</v>
      </c>
      <c r="H32">
        <v>1741</v>
      </c>
      <c r="I32" t="s">
        <v>51</v>
      </c>
      <c r="J32" s="15" t="s">
        <v>33</v>
      </c>
      <c r="K32">
        <f t="shared" si="0"/>
        <v>40</v>
      </c>
      <c r="L32">
        <f t="shared" si="1"/>
        <v>1.75</v>
      </c>
      <c r="M32">
        <f t="shared" si="2"/>
        <v>0.9044908602084557</v>
      </c>
    </row>
    <row r="33" spans="1:13">
      <c r="A33" s="2">
        <v>45909</v>
      </c>
      <c r="B33">
        <f t="shared" si="3"/>
        <v>2138.2293394374028</v>
      </c>
      <c r="C33" t="s">
        <v>24</v>
      </c>
      <c r="D33" t="s">
        <v>34</v>
      </c>
      <c r="E33" t="s">
        <v>41</v>
      </c>
      <c r="F33" s="14">
        <v>0</v>
      </c>
      <c r="G33" s="14">
        <v>1</v>
      </c>
      <c r="H33">
        <v>1934</v>
      </c>
      <c r="I33" t="s">
        <v>37</v>
      </c>
      <c r="J33" s="15" t="s">
        <v>33</v>
      </c>
      <c r="K33">
        <f t="shared" si="0"/>
        <v>40</v>
      </c>
      <c r="L33">
        <f t="shared" si="1"/>
        <v>1</v>
      </c>
      <c r="M33">
        <f t="shared" si="2"/>
        <v>0.76416270310658763</v>
      </c>
    </row>
    <row r="34" spans="1:13">
      <c r="A34" s="2">
        <v>45940</v>
      </c>
      <c r="B34">
        <f t="shared" si="3"/>
        <v>2107.6628313131391</v>
      </c>
      <c r="C34" t="s">
        <v>24</v>
      </c>
      <c r="D34" t="s">
        <v>25</v>
      </c>
      <c r="E34" t="s">
        <v>26</v>
      </c>
      <c r="F34" s="14">
        <v>1</v>
      </c>
      <c r="G34" s="14">
        <v>0</v>
      </c>
      <c r="H34">
        <v>1715</v>
      </c>
      <c r="I34" t="s">
        <v>51</v>
      </c>
      <c r="J34" s="15" t="s">
        <v>28</v>
      </c>
      <c r="K34">
        <f t="shared" si="0"/>
        <v>20</v>
      </c>
      <c r="L34">
        <f t="shared" si="1"/>
        <v>1</v>
      </c>
      <c r="M34">
        <f t="shared" si="2"/>
        <v>0.90553948408192597</v>
      </c>
    </row>
    <row r="35" spans="1:13">
      <c r="A35" s="2">
        <v>45944</v>
      </c>
      <c r="B35">
        <f t="shared" si="3"/>
        <v>2109.5520416315007</v>
      </c>
      <c r="C35" t="s">
        <v>24</v>
      </c>
      <c r="D35" t="s">
        <v>25</v>
      </c>
      <c r="E35" t="s">
        <v>26</v>
      </c>
      <c r="F35" s="14">
        <v>6</v>
      </c>
      <c r="G35" s="14">
        <v>0</v>
      </c>
      <c r="H35">
        <v>1134</v>
      </c>
      <c r="I35" t="s">
        <v>52</v>
      </c>
      <c r="J35" s="15" t="s">
        <v>28</v>
      </c>
      <c r="K35">
        <f t="shared" si="0"/>
        <v>20</v>
      </c>
      <c r="L35">
        <f t="shared" si="1"/>
        <v>2.125</v>
      </c>
      <c r="M35">
        <f t="shared" si="2"/>
        <v>0.99637304750759315</v>
      </c>
    </row>
    <row r="36" spans="1:13">
      <c r="A36" s="2">
        <v>45975</v>
      </c>
      <c r="B36">
        <f t="shared" si="3"/>
        <v>2109.7061871124279</v>
      </c>
      <c r="C36" t="s">
        <v>24</v>
      </c>
      <c r="D36" t="s">
        <v>34</v>
      </c>
      <c r="E36" t="s">
        <v>26</v>
      </c>
      <c r="F36" s="14">
        <v>2</v>
      </c>
      <c r="G36" s="14">
        <v>0</v>
      </c>
      <c r="H36">
        <v>1565</v>
      </c>
      <c r="I36" t="s">
        <v>53</v>
      </c>
      <c r="J36" s="15" t="s">
        <v>28</v>
      </c>
      <c r="K36">
        <f t="shared" si="0"/>
        <v>20</v>
      </c>
      <c r="L36">
        <f t="shared" si="1"/>
        <v>1.5</v>
      </c>
      <c r="M36">
        <f t="shared" si="2"/>
        <v>0.95833679319204335</v>
      </c>
    </row>
    <row r="37" spans="1:13">
      <c r="A37" s="2">
        <v>46108</v>
      </c>
      <c r="B37">
        <f t="shared" si="3"/>
        <v>2110.9560833166665</v>
      </c>
      <c r="C37" t="s">
        <v>24</v>
      </c>
      <c r="D37" t="s">
        <v>25</v>
      </c>
      <c r="E37" t="s">
        <v>26</v>
      </c>
      <c r="F37" s="14">
        <v>2</v>
      </c>
      <c r="G37" s="14">
        <v>1</v>
      </c>
      <c r="H37">
        <v>1311</v>
      </c>
      <c r="I37" t="s">
        <v>54</v>
      </c>
      <c r="J37" s="15" t="s">
        <v>28</v>
      </c>
      <c r="K37">
        <f t="shared" si="0"/>
        <v>20</v>
      </c>
      <c r="L37">
        <f t="shared" si="1"/>
        <v>1</v>
      </c>
      <c r="M37">
        <f t="shared" si="2"/>
        <v>0.99009653135892739</v>
      </c>
    </row>
    <row r="38" spans="1:13">
      <c r="A38" s="2">
        <v>46112</v>
      </c>
      <c r="B38">
        <f t="shared" si="3"/>
        <v>2111.154152689488</v>
      </c>
      <c r="C38" t="s">
        <v>24</v>
      </c>
      <c r="D38" t="s">
        <v>25</v>
      </c>
      <c r="E38" t="s">
        <v>26</v>
      </c>
      <c r="F38" s="14">
        <v>5</v>
      </c>
      <c r="G38" s="14">
        <v>0</v>
      </c>
      <c r="H38">
        <v>1370</v>
      </c>
      <c r="I38" t="s">
        <v>55</v>
      </c>
      <c r="J38" s="15" t="s">
        <v>28</v>
      </c>
      <c r="K38">
        <f t="shared" si="0"/>
        <v>20</v>
      </c>
      <c r="L38">
        <f t="shared" si="1"/>
        <v>2</v>
      </c>
      <c r="M38">
        <f t="shared" si="2"/>
        <v>0.98616232817767224</v>
      </c>
    </row>
    <row r="39" spans="1:13">
      <c r="A39" s="2">
        <v>46179</v>
      </c>
      <c r="B39">
        <v>2114</v>
      </c>
      <c r="C39" t="s">
        <v>24</v>
      </c>
      <c r="D39" t="s">
        <v>25</v>
      </c>
      <c r="E39" t="s">
        <v>26</v>
      </c>
      <c r="F39" s="14">
        <v>2</v>
      </c>
      <c r="G39" s="14">
        <v>0</v>
      </c>
      <c r="H39">
        <v>1570</v>
      </c>
      <c r="I39" t="s">
        <v>92</v>
      </c>
      <c r="J39" s="15" t="s">
        <v>28</v>
      </c>
      <c r="K39">
        <f t="shared" si="0"/>
        <v>20</v>
      </c>
      <c r="L39">
        <f t="shared" ref="L39" si="4">+IF(ABS(F39-G39)&lt;=1,1,IF(ABS(F39-G39)=2,1.5,(11+ABS(F39-G39))/8))</f>
        <v>1.5</v>
      </c>
      <c r="M39">
        <f t="shared" ref="M39" si="5">(1+10^((H39-B39)/400))^-1</f>
        <v>0.9581741800370106</v>
      </c>
    </row>
    <row r="40" spans="1:13">
      <c r="A40" s="2">
        <v>46182</v>
      </c>
      <c r="B40">
        <v>2115</v>
      </c>
      <c r="C40" t="s">
        <v>24</v>
      </c>
      <c r="D40" t="s">
        <v>25</v>
      </c>
      <c r="E40" t="s">
        <v>26</v>
      </c>
      <c r="F40" s="14">
        <v>3</v>
      </c>
      <c r="G40" s="14">
        <v>0</v>
      </c>
      <c r="H40">
        <v>1568</v>
      </c>
      <c r="I40" t="s">
        <v>97</v>
      </c>
      <c r="J40" s="15" t="s">
        <v>28</v>
      </c>
      <c r="K40">
        <f t="shared" ref="K40" si="6">+VLOOKUP(J40,$O$2:$P$6,2,0)</f>
        <v>20</v>
      </c>
      <c r="L40">
        <f t="shared" ref="L40" si="7">+IF(ABS(F40-G40)&lt;=1,1,IF(ABS(F40-G40)=2,1.5,(11+ABS(F40-G40))/8))</f>
        <v>1.75</v>
      </c>
      <c r="M40">
        <f t="shared" ref="M40" si="8">(1+10^((H40-B40)/400))^-1</f>
        <v>0.95886082523651217</v>
      </c>
    </row>
    <row r="41" spans="1:13">
      <c r="A41" s="2"/>
      <c r="C41" t="s">
        <v>24</v>
      </c>
      <c r="D41" t="s">
        <v>25</v>
      </c>
      <c r="E41" t="s">
        <v>26</v>
      </c>
      <c r="F41" s="14">
        <v>3</v>
      </c>
      <c r="G41" s="14">
        <v>0</v>
      </c>
      <c r="I41" t="s">
        <v>98</v>
      </c>
      <c r="J41" s="15" t="s">
        <v>99</v>
      </c>
    </row>
    <row r="42" spans="1:13">
      <c r="C42" t="s">
        <v>24</v>
      </c>
      <c r="D42" t="s">
        <v>25</v>
      </c>
      <c r="E42" t="s">
        <v>26</v>
      </c>
      <c r="F42" s="14">
        <v>2</v>
      </c>
      <c r="G42" s="14">
        <v>0</v>
      </c>
      <c r="I42" t="s">
        <v>100</v>
      </c>
      <c r="J42" s="15" t="s">
        <v>99</v>
      </c>
    </row>
    <row r="43" spans="1:13">
      <c r="C43" t="s">
        <v>24</v>
      </c>
      <c r="D43" t="s">
        <v>34</v>
      </c>
      <c r="E43" t="s">
        <v>26</v>
      </c>
      <c r="F43" s="14">
        <v>3</v>
      </c>
      <c r="G43" s="14">
        <v>1</v>
      </c>
      <c r="I43" t="s">
        <v>101</v>
      </c>
      <c r="J43" s="15" t="s">
        <v>99</v>
      </c>
    </row>
    <row r="44" spans="1:13">
      <c r="C44" t="s">
        <v>24</v>
      </c>
      <c r="D44" t="s">
        <v>25</v>
      </c>
      <c r="E44" t="s">
        <v>26</v>
      </c>
      <c r="F44" s="14">
        <v>3</v>
      </c>
      <c r="G44" s="14">
        <v>2</v>
      </c>
      <c r="I44" t="s">
        <v>102</v>
      </c>
      <c r="J44" s="15" t="s">
        <v>99</v>
      </c>
    </row>
    <row r="45" spans="1:13">
      <c r="C45" t="s">
        <v>24</v>
      </c>
      <c r="D45" t="s">
        <v>25</v>
      </c>
      <c r="E45" t="s">
        <v>26</v>
      </c>
      <c r="F45" s="14">
        <v>3</v>
      </c>
      <c r="G45" s="14">
        <v>2</v>
      </c>
      <c r="I45" t="s">
        <v>103</v>
      </c>
      <c r="J45" s="15" t="s">
        <v>99</v>
      </c>
    </row>
    <row r="46" spans="1:13">
      <c r="C46" t="s">
        <v>24</v>
      </c>
      <c r="D46" t="s">
        <v>25</v>
      </c>
      <c r="E46" t="s">
        <v>26</v>
      </c>
      <c r="F46" s="14">
        <v>3</v>
      </c>
      <c r="G46" s="14">
        <v>1</v>
      </c>
      <c r="I46" t="s">
        <v>104</v>
      </c>
      <c r="J46" s="15" t="s">
        <v>99</v>
      </c>
    </row>
    <row r="47" spans="1:13">
      <c r="C47" s="16" t="s">
        <v>24</v>
      </c>
      <c r="D47" s="16" t="s">
        <v>34</v>
      </c>
      <c r="E47" s="16" t="s">
        <v>26</v>
      </c>
      <c r="F47" s="14">
        <v>2</v>
      </c>
      <c r="G47" s="14">
        <v>1</v>
      </c>
      <c r="H47" s="16"/>
      <c r="I47" s="16" t="s">
        <v>105</v>
      </c>
      <c r="J47" s="15" t="s">
        <v>99</v>
      </c>
    </row>
  </sheetData>
  <autoFilter ref="A1:M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6"/>
  <sheetViews>
    <sheetView workbookViewId="0">
      <selection activeCell="C36" sqref="C36:J36"/>
    </sheetView>
  </sheetViews>
  <sheetFormatPr baseColWidth="10" defaultRowHeight="14.2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s="1" t="s">
        <v>19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1" t="s">
        <v>19</v>
      </c>
    </row>
    <row r="2" spans="1:21">
      <c r="A2" s="2">
        <v>45008</v>
      </c>
      <c r="B2">
        <v>2145</v>
      </c>
      <c r="C2" t="s">
        <v>24</v>
      </c>
      <c r="D2" t="s">
        <v>25</v>
      </c>
      <c r="E2" t="s">
        <v>26</v>
      </c>
      <c r="F2" s="14">
        <v>2</v>
      </c>
      <c r="G2" s="14">
        <v>0</v>
      </c>
      <c r="H2">
        <v>1640</v>
      </c>
      <c r="I2" t="s">
        <v>27</v>
      </c>
      <c r="J2" s="15" t="s">
        <v>28</v>
      </c>
      <c r="L2" s="2">
        <v>45096</v>
      </c>
      <c r="M2">
        <v>2150.1142</v>
      </c>
      <c r="N2" t="s">
        <v>24</v>
      </c>
      <c r="O2" t="s">
        <v>34</v>
      </c>
      <c r="P2" t="s">
        <v>26</v>
      </c>
      <c r="Q2" s="14">
        <v>2</v>
      </c>
      <c r="R2" s="14">
        <v>0</v>
      </c>
      <c r="S2">
        <v>1287</v>
      </c>
      <c r="T2" t="s">
        <v>35</v>
      </c>
      <c r="U2" s="15" t="s">
        <v>28</v>
      </c>
    </row>
    <row r="3" spans="1:21">
      <c r="A3" s="2">
        <v>45013</v>
      </c>
      <c r="B3">
        <v>2146.5542</v>
      </c>
      <c r="C3" t="s">
        <v>24</v>
      </c>
      <c r="D3" t="s">
        <v>25</v>
      </c>
      <c r="E3" t="s">
        <v>26</v>
      </c>
      <c r="F3" s="14">
        <v>7</v>
      </c>
      <c r="G3" s="14">
        <v>0</v>
      </c>
      <c r="H3">
        <v>1350</v>
      </c>
      <c r="I3" t="s">
        <v>30</v>
      </c>
      <c r="J3" s="15" t="s">
        <v>28</v>
      </c>
      <c r="L3" s="2">
        <v>45181</v>
      </c>
      <c r="M3">
        <v>2156.3216000000002</v>
      </c>
      <c r="N3" t="s">
        <v>24</v>
      </c>
      <c r="O3" t="s">
        <v>34</v>
      </c>
      <c r="P3" t="s">
        <v>26</v>
      </c>
      <c r="Q3" s="14">
        <v>3</v>
      </c>
      <c r="R3" s="14">
        <v>0</v>
      </c>
      <c r="S3">
        <v>1596</v>
      </c>
      <c r="T3" t="s">
        <v>38</v>
      </c>
      <c r="U3" s="15" t="s">
        <v>33</v>
      </c>
    </row>
    <row r="4" spans="1:21">
      <c r="A4" s="2">
        <v>45092</v>
      </c>
      <c r="B4">
        <v>2147.0086000000001</v>
      </c>
      <c r="C4" t="s">
        <v>24</v>
      </c>
      <c r="D4" t="s">
        <v>25</v>
      </c>
      <c r="E4" t="s">
        <v>26</v>
      </c>
      <c r="F4" s="14">
        <v>2</v>
      </c>
      <c r="G4" s="14">
        <v>0</v>
      </c>
      <c r="H4">
        <v>1772</v>
      </c>
      <c r="I4" t="s">
        <v>32</v>
      </c>
      <c r="J4" s="15" t="s">
        <v>28</v>
      </c>
      <c r="L4" s="2">
        <v>45216</v>
      </c>
      <c r="M4">
        <v>2161.6990000000001</v>
      </c>
      <c r="N4" t="s">
        <v>24</v>
      </c>
      <c r="O4" t="s">
        <v>34</v>
      </c>
      <c r="P4" t="s">
        <v>26</v>
      </c>
      <c r="Q4" s="14">
        <v>2</v>
      </c>
      <c r="R4" s="14">
        <v>0</v>
      </c>
      <c r="S4">
        <v>1786</v>
      </c>
      <c r="T4" t="s">
        <v>40</v>
      </c>
      <c r="U4" s="15" t="s">
        <v>33</v>
      </c>
    </row>
    <row r="5" spans="1:21">
      <c r="A5" s="2">
        <v>45176</v>
      </c>
      <c r="B5">
        <v>2150.3213999999998</v>
      </c>
      <c r="C5" t="s">
        <v>24</v>
      </c>
      <c r="D5" t="s">
        <v>25</v>
      </c>
      <c r="E5" t="s">
        <v>26</v>
      </c>
      <c r="F5" s="14">
        <v>1</v>
      </c>
      <c r="G5" s="14">
        <v>0</v>
      </c>
      <c r="H5">
        <v>1849</v>
      </c>
      <c r="I5" t="s">
        <v>37</v>
      </c>
      <c r="J5" s="15" t="s">
        <v>33</v>
      </c>
      <c r="L5" s="2">
        <v>45251</v>
      </c>
      <c r="M5">
        <v>2124.5617000000002</v>
      </c>
      <c r="N5" t="s">
        <v>24</v>
      </c>
      <c r="O5" t="s">
        <v>34</v>
      </c>
      <c r="P5" t="s">
        <v>26</v>
      </c>
      <c r="Q5" s="14">
        <v>1</v>
      </c>
      <c r="R5" s="14">
        <v>0</v>
      </c>
      <c r="S5">
        <v>2011</v>
      </c>
      <c r="T5" t="s">
        <v>43</v>
      </c>
      <c r="U5" s="15" t="s">
        <v>33</v>
      </c>
    </row>
    <row r="6" spans="1:21">
      <c r="A6" s="2">
        <v>45211</v>
      </c>
      <c r="B6">
        <v>2158.9969000000001</v>
      </c>
      <c r="C6" t="s">
        <v>24</v>
      </c>
      <c r="D6" t="s">
        <v>25</v>
      </c>
      <c r="E6" t="s">
        <v>26</v>
      </c>
      <c r="F6" s="14">
        <v>1</v>
      </c>
      <c r="G6" s="14">
        <v>0</v>
      </c>
      <c r="H6">
        <v>1703</v>
      </c>
      <c r="I6" t="s">
        <v>39</v>
      </c>
      <c r="J6" s="15" t="s">
        <v>33</v>
      </c>
      <c r="L6" s="2">
        <v>45545</v>
      </c>
      <c r="M6">
        <v>2172.1048999999998</v>
      </c>
      <c r="N6" t="s">
        <v>24</v>
      </c>
      <c r="O6" t="s">
        <v>34</v>
      </c>
      <c r="P6" t="s">
        <v>41</v>
      </c>
      <c r="Q6" s="14">
        <v>1</v>
      </c>
      <c r="R6" s="14">
        <v>2</v>
      </c>
      <c r="S6">
        <v>2060</v>
      </c>
      <c r="T6" t="s">
        <v>50</v>
      </c>
      <c r="U6" s="15" t="s">
        <v>33</v>
      </c>
    </row>
    <row r="7" spans="1:21">
      <c r="A7" s="2">
        <v>45246</v>
      </c>
      <c r="B7">
        <v>2167.8879999999999</v>
      </c>
      <c r="C7" t="s">
        <v>24</v>
      </c>
      <c r="D7" t="s">
        <v>25</v>
      </c>
      <c r="E7" t="s">
        <v>41</v>
      </c>
      <c r="F7" s="14">
        <v>0</v>
      </c>
      <c r="G7" s="14">
        <v>2</v>
      </c>
      <c r="H7">
        <v>2002</v>
      </c>
      <c r="I7" t="s">
        <v>42</v>
      </c>
      <c r="J7" s="15" t="s">
        <v>33</v>
      </c>
      <c r="L7" s="2">
        <v>45575</v>
      </c>
      <c r="M7">
        <v>2145.8665999999998</v>
      </c>
      <c r="N7" t="s">
        <v>24</v>
      </c>
      <c r="O7" t="s">
        <v>34</v>
      </c>
      <c r="P7" t="s">
        <v>49</v>
      </c>
      <c r="Q7" s="14">
        <v>1</v>
      </c>
      <c r="R7" s="14">
        <v>1</v>
      </c>
      <c r="S7">
        <v>1783</v>
      </c>
      <c r="T7" t="s">
        <v>51</v>
      </c>
      <c r="U7" s="15" t="s">
        <v>33</v>
      </c>
    </row>
    <row r="8" spans="1:21">
      <c r="A8" s="2">
        <v>45373</v>
      </c>
      <c r="B8">
        <v>2138.2478000000001</v>
      </c>
      <c r="C8" t="s">
        <v>24</v>
      </c>
      <c r="D8" t="s">
        <v>25</v>
      </c>
      <c r="E8" t="s">
        <v>26</v>
      </c>
      <c r="F8" s="14">
        <v>3</v>
      </c>
      <c r="G8" s="14">
        <v>0</v>
      </c>
      <c r="H8">
        <v>1394</v>
      </c>
      <c r="I8" t="s">
        <v>44</v>
      </c>
      <c r="J8" s="15" t="s">
        <v>28</v>
      </c>
      <c r="L8" s="2">
        <v>45610</v>
      </c>
      <c r="M8">
        <v>2135.8254999999999</v>
      </c>
      <c r="N8" t="s">
        <v>24</v>
      </c>
      <c r="O8" t="s">
        <v>34</v>
      </c>
      <c r="P8" t="s">
        <v>41</v>
      </c>
      <c r="Q8" s="14">
        <v>1</v>
      </c>
      <c r="R8" s="14">
        <v>2</v>
      </c>
      <c r="S8">
        <v>1776</v>
      </c>
      <c r="T8" t="s">
        <v>39</v>
      </c>
      <c r="U8" s="15" t="s">
        <v>33</v>
      </c>
    </row>
    <row r="9" spans="1:21">
      <c r="A9" s="2">
        <v>45377</v>
      </c>
      <c r="B9">
        <v>2138.7237</v>
      </c>
      <c r="C9" t="s">
        <v>24</v>
      </c>
      <c r="D9" t="s">
        <v>25</v>
      </c>
      <c r="E9" t="s">
        <v>26</v>
      </c>
      <c r="F9" s="14">
        <v>3</v>
      </c>
      <c r="G9" s="14">
        <v>1</v>
      </c>
      <c r="H9">
        <v>1605</v>
      </c>
      <c r="I9" t="s">
        <v>45</v>
      </c>
      <c r="J9" s="15" t="s">
        <v>28</v>
      </c>
      <c r="L9" s="2">
        <v>45737</v>
      </c>
      <c r="M9">
        <v>2104.373</v>
      </c>
      <c r="N9" t="s">
        <v>24</v>
      </c>
      <c r="O9" t="s">
        <v>34</v>
      </c>
      <c r="P9" t="s">
        <v>26</v>
      </c>
      <c r="Q9" s="14">
        <v>1</v>
      </c>
      <c r="R9" s="14">
        <v>0</v>
      </c>
      <c r="S9">
        <v>1931</v>
      </c>
      <c r="T9" t="s">
        <v>42</v>
      </c>
      <c r="U9" s="15" t="s">
        <v>33</v>
      </c>
    </row>
    <row r="10" spans="1:21">
      <c r="A10" s="2">
        <v>45452</v>
      </c>
      <c r="B10">
        <v>2140.0515999999998</v>
      </c>
      <c r="C10" t="s">
        <v>24</v>
      </c>
      <c r="D10" t="s">
        <v>25</v>
      </c>
      <c r="E10" t="s">
        <v>26</v>
      </c>
      <c r="F10" s="14">
        <v>1</v>
      </c>
      <c r="G10" s="14">
        <v>0</v>
      </c>
      <c r="H10">
        <v>1869</v>
      </c>
      <c r="I10" t="s">
        <v>37</v>
      </c>
      <c r="J10" s="15" t="s">
        <v>28</v>
      </c>
      <c r="L10" s="2">
        <v>45813</v>
      </c>
      <c r="M10">
        <v>2138.3245999999999</v>
      </c>
      <c r="N10" t="s">
        <v>24</v>
      </c>
      <c r="O10" t="s">
        <v>34</v>
      </c>
      <c r="P10" t="s">
        <v>26</v>
      </c>
      <c r="Q10" s="14">
        <v>1</v>
      </c>
      <c r="R10" s="14">
        <v>0</v>
      </c>
      <c r="S10">
        <v>1717</v>
      </c>
      <c r="T10" t="s">
        <v>48</v>
      </c>
      <c r="U10" s="15" t="s">
        <v>33</v>
      </c>
    </row>
    <row r="11" spans="1:21">
      <c r="A11" s="2">
        <v>45457</v>
      </c>
      <c r="B11">
        <v>2143.5236</v>
      </c>
      <c r="C11" t="s">
        <v>24</v>
      </c>
      <c r="D11" t="s">
        <v>25</v>
      </c>
      <c r="E11" t="s">
        <v>26</v>
      </c>
      <c r="F11" s="14">
        <v>4</v>
      </c>
      <c r="G11" s="14">
        <v>1</v>
      </c>
      <c r="H11">
        <v>1486</v>
      </c>
      <c r="I11" t="s">
        <v>46</v>
      </c>
      <c r="J11" s="15" t="s">
        <v>28</v>
      </c>
      <c r="L11" s="2">
        <v>45909</v>
      </c>
      <c r="M11">
        <v>2138.2293</v>
      </c>
      <c r="N11" t="s">
        <v>24</v>
      </c>
      <c r="O11" t="s">
        <v>34</v>
      </c>
      <c r="P11" t="s">
        <v>41</v>
      </c>
      <c r="Q11" s="14">
        <v>0</v>
      </c>
      <c r="R11" s="14">
        <v>1</v>
      </c>
      <c r="S11">
        <v>1934</v>
      </c>
      <c r="T11" t="s">
        <v>37</v>
      </c>
      <c r="U11" s="15" t="s">
        <v>33</v>
      </c>
    </row>
    <row r="12" spans="1:21">
      <c r="A12" s="2">
        <v>45463</v>
      </c>
      <c r="B12">
        <v>2144.3008</v>
      </c>
      <c r="C12" t="s">
        <v>24</v>
      </c>
      <c r="D12" t="s">
        <v>25</v>
      </c>
      <c r="E12" t="s">
        <v>26</v>
      </c>
      <c r="F12" s="14">
        <v>2</v>
      </c>
      <c r="G12" s="14">
        <v>0</v>
      </c>
      <c r="H12">
        <v>1714</v>
      </c>
      <c r="I12" t="s">
        <v>47</v>
      </c>
      <c r="J12" s="15" t="s">
        <v>31</v>
      </c>
      <c r="L12" s="2">
        <v>45975</v>
      </c>
      <c r="M12">
        <v>2109.7062000000001</v>
      </c>
      <c r="N12" t="s">
        <v>24</v>
      </c>
      <c r="O12" t="s">
        <v>34</v>
      </c>
      <c r="P12" t="s">
        <v>26</v>
      </c>
      <c r="Q12" s="14">
        <v>2</v>
      </c>
      <c r="R12" s="14">
        <v>0</v>
      </c>
      <c r="S12">
        <v>1565</v>
      </c>
      <c r="T12" t="s">
        <v>53</v>
      </c>
      <c r="U12" s="15" t="s">
        <v>28</v>
      </c>
    </row>
    <row r="13" spans="1:21">
      <c r="A13" s="2">
        <v>45468</v>
      </c>
      <c r="B13">
        <v>2150.1122</v>
      </c>
      <c r="C13" t="s">
        <v>24</v>
      </c>
      <c r="D13" t="s">
        <v>25</v>
      </c>
      <c r="E13" t="s">
        <v>26</v>
      </c>
      <c r="F13" s="14">
        <v>1</v>
      </c>
      <c r="G13" s="14">
        <v>0</v>
      </c>
      <c r="H13">
        <v>1722</v>
      </c>
      <c r="I13" t="s">
        <v>48</v>
      </c>
      <c r="J13" s="15" t="s">
        <v>31</v>
      </c>
      <c r="L13" s="2"/>
      <c r="N13" t="s">
        <v>24</v>
      </c>
      <c r="O13" t="s">
        <v>25</v>
      </c>
      <c r="P13" t="s">
        <v>26</v>
      </c>
      <c r="Q13" s="14">
        <v>3</v>
      </c>
      <c r="R13" s="14">
        <v>0</v>
      </c>
      <c r="T13" t="s">
        <v>98</v>
      </c>
      <c r="U13" s="15" t="s">
        <v>99</v>
      </c>
    </row>
    <row r="14" spans="1:21">
      <c r="A14" s="2">
        <v>45472</v>
      </c>
      <c r="B14">
        <v>2154.0318000000002</v>
      </c>
      <c r="C14" t="s">
        <v>24</v>
      </c>
      <c r="D14" t="s">
        <v>25</v>
      </c>
      <c r="E14" t="s">
        <v>26</v>
      </c>
      <c r="F14" s="14">
        <v>2</v>
      </c>
      <c r="G14" s="14">
        <v>0</v>
      </c>
      <c r="H14">
        <v>1709</v>
      </c>
      <c r="I14" t="s">
        <v>40</v>
      </c>
      <c r="J14" s="15" t="s">
        <v>31</v>
      </c>
      <c r="L14" s="2"/>
      <c r="N14" t="s">
        <v>24</v>
      </c>
      <c r="O14" t="s">
        <v>25</v>
      </c>
      <c r="P14" t="s">
        <v>26</v>
      </c>
      <c r="Q14" s="14">
        <v>2</v>
      </c>
      <c r="R14" s="14">
        <v>0</v>
      </c>
      <c r="T14" t="s">
        <v>100</v>
      </c>
      <c r="U14" s="15" t="s">
        <v>99</v>
      </c>
    </row>
    <row r="15" spans="1:21">
      <c r="A15" s="2">
        <v>45477</v>
      </c>
      <c r="B15">
        <v>2159.4045999999998</v>
      </c>
      <c r="C15" t="s">
        <v>24</v>
      </c>
      <c r="D15" t="s">
        <v>25</v>
      </c>
      <c r="E15" t="s">
        <v>49</v>
      </c>
      <c r="F15" s="14">
        <v>1</v>
      </c>
      <c r="G15" s="14">
        <v>1</v>
      </c>
      <c r="H15">
        <v>1871</v>
      </c>
      <c r="I15" t="s">
        <v>37</v>
      </c>
      <c r="J15" s="15" t="s">
        <v>31</v>
      </c>
      <c r="L15" s="2"/>
      <c r="N15" t="s">
        <v>24</v>
      </c>
      <c r="O15" t="s">
        <v>34</v>
      </c>
      <c r="P15" t="s">
        <v>26</v>
      </c>
      <c r="Q15" s="14">
        <v>3</v>
      </c>
      <c r="R15" s="14">
        <v>1</v>
      </c>
      <c r="T15" t="s">
        <v>101</v>
      </c>
      <c r="U15" s="15" t="s">
        <v>99</v>
      </c>
    </row>
    <row r="16" spans="1:21">
      <c r="A16" s="2">
        <v>45482</v>
      </c>
      <c r="B16">
        <v>2142.3914</v>
      </c>
      <c r="C16" t="s">
        <v>24</v>
      </c>
      <c r="D16" t="s">
        <v>25</v>
      </c>
      <c r="E16" t="s">
        <v>26</v>
      </c>
      <c r="F16" s="14">
        <v>2</v>
      </c>
      <c r="G16" s="14">
        <v>0</v>
      </c>
      <c r="H16">
        <v>1739</v>
      </c>
      <c r="I16" t="s">
        <v>47</v>
      </c>
      <c r="J16" s="15" t="s">
        <v>31</v>
      </c>
      <c r="L16" s="2"/>
      <c r="N16" t="s">
        <v>24</v>
      </c>
      <c r="O16" t="s">
        <v>25</v>
      </c>
      <c r="P16" t="s">
        <v>26</v>
      </c>
      <c r="Q16" s="14">
        <v>3</v>
      </c>
      <c r="R16" s="14">
        <v>2</v>
      </c>
      <c r="T16" t="s">
        <v>102</v>
      </c>
      <c r="U16" s="15" t="s">
        <v>99</v>
      </c>
    </row>
    <row r="17" spans="1:21">
      <c r="A17" s="2">
        <v>45487</v>
      </c>
      <c r="B17">
        <v>2149.0895</v>
      </c>
      <c r="C17" t="s">
        <v>24</v>
      </c>
      <c r="D17" t="s">
        <v>25</v>
      </c>
      <c r="E17" t="s">
        <v>26</v>
      </c>
      <c r="F17" s="14">
        <v>1</v>
      </c>
      <c r="G17" s="14">
        <v>0</v>
      </c>
      <c r="H17">
        <v>2050</v>
      </c>
      <c r="I17" t="s">
        <v>50</v>
      </c>
      <c r="J17" s="15" t="s">
        <v>31</v>
      </c>
      <c r="L17" s="2"/>
      <c r="N17" t="s">
        <v>24</v>
      </c>
      <c r="O17" t="s">
        <v>25</v>
      </c>
      <c r="P17" t="s">
        <v>26</v>
      </c>
      <c r="Q17" s="14">
        <v>3</v>
      </c>
      <c r="R17" s="14">
        <v>2</v>
      </c>
      <c r="T17" t="s">
        <v>103</v>
      </c>
      <c r="U17" s="15" t="s">
        <v>99</v>
      </c>
    </row>
    <row r="18" spans="1:21">
      <c r="A18" s="2">
        <v>45540</v>
      </c>
      <c r="B18">
        <v>2167.1466999999998</v>
      </c>
      <c r="C18" t="s">
        <v>24</v>
      </c>
      <c r="D18" t="s">
        <v>25</v>
      </c>
      <c r="E18" t="s">
        <v>26</v>
      </c>
      <c r="F18" s="14">
        <v>3</v>
      </c>
      <c r="G18" s="14">
        <v>0</v>
      </c>
      <c r="H18">
        <v>1720</v>
      </c>
      <c r="I18" t="s">
        <v>48</v>
      </c>
      <c r="J18" s="15" t="s">
        <v>33</v>
      </c>
      <c r="L18" s="2"/>
      <c r="N18" t="s">
        <v>24</v>
      </c>
      <c r="O18" t="s">
        <v>25</v>
      </c>
      <c r="P18" t="s">
        <v>26</v>
      </c>
      <c r="Q18" s="14">
        <v>3</v>
      </c>
      <c r="R18" s="14">
        <v>1</v>
      </c>
      <c r="T18" t="s">
        <v>104</v>
      </c>
      <c r="U18" s="15" t="s">
        <v>99</v>
      </c>
    </row>
    <row r="19" spans="1:21">
      <c r="A19" s="2">
        <v>45580</v>
      </c>
      <c r="B19">
        <v>2130.2741000000001</v>
      </c>
      <c r="C19" t="s">
        <v>24</v>
      </c>
      <c r="D19" t="s">
        <v>25</v>
      </c>
      <c r="E19" t="s">
        <v>26</v>
      </c>
      <c r="F19" s="14">
        <v>6</v>
      </c>
      <c r="G19" s="14">
        <v>0</v>
      </c>
      <c r="H19">
        <v>1668</v>
      </c>
      <c r="I19" t="s">
        <v>38</v>
      </c>
      <c r="J19" s="15" t="s">
        <v>33</v>
      </c>
      <c r="L19" s="2"/>
      <c r="N19" s="16" t="s">
        <v>24</v>
      </c>
      <c r="O19" s="16" t="s">
        <v>34</v>
      </c>
      <c r="P19" s="16" t="s">
        <v>26</v>
      </c>
      <c r="Q19" s="14">
        <v>2</v>
      </c>
      <c r="R19" s="14">
        <v>1</v>
      </c>
      <c r="S19" s="16"/>
      <c r="T19" s="16" t="s">
        <v>105</v>
      </c>
      <c r="U19" s="15" t="s">
        <v>99</v>
      </c>
    </row>
    <row r="20" spans="1:21">
      <c r="A20" s="2">
        <v>45615</v>
      </c>
      <c r="B20">
        <v>2100.3020999999999</v>
      </c>
      <c r="C20" t="s">
        <v>24</v>
      </c>
      <c r="D20" t="s">
        <v>25</v>
      </c>
      <c r="E20" t="s">
        <v>26</v>
      </c>
      <c r="F20" s="14">
        <v>1</v>
      </c>
      <c r="G20" s="14">
        <v>0</v>
      </c>
      <c r="H20">
        <v>1722</v>
      </c>
      <c r="I20" t="s">
        <v>40</v>
      </c>
      <c r="J20" s="15" t="s">
        <v>33</v>
      </c>
    </row>
    <row r="21" spans="1:21">
      <c r="A21" s="2">
        <v>45741</v>
      </c>
      <c r="B21">
        <v>2115.1462999999999</v>
      </c>
      <c r="C21" t="s">
        <v>24</v>
      </c>
      <c r="D21" t="s">
        <v>25</v>
      </c>
      <c r="E21" t="s">
        <v>26</v>
      </c>
      <c r="F21" s="14">
        <v>4</v>
      </c>
      <c r="G21" s="14">
        <v>1</v>
      </c>
      <c r="H21">
        <v>1993</v>
      </c>
      <c r="I21" t="s">
        <v>43</v>
      </c>
      <c r="J21" s="15" t="s">
        <v>33</v>
      </c>
    </row>
    <row r="22" spans="1:21">
      <c r="A22" s="2">
        <v>45818</v>
      </c>
      <c r="B22" s="1">
        <v>2141.5749999999998</v>
      </c>
      <c r="C22" t="s">
        <v>24</v>
      </c>
      <c r="D22" t="s">
        <v>25</v>
      </c>
      <c r="E22" t="s">
        <v>49</v>
      </c>
      <c r="F22">
        <v>1</v>
      </c>
      <c r="G22">
        <v>1</v>
      </c>
      <c r="H22">
        <v>1950</v>
      </c>
      <c r="I22" t="s">
        <v>50</v>
      </c>
      <c r="J22" t="s">
        <v>33</v>
      </c>
    </row>
    <row r="23" spans="1:21">
      <c r="A23" s="2">
        <v>45904</v>
      </c>
      <c r="B23" s="1">
        <v>2131.5437000000002</v>
      </c>
      <c r="C23" t="s">
        <v>24</v>
      </c>
      <c r="D23" t="s">
        <v>25</v>
      </c>
      <c r="E23" t="s">
        <v>26</v>
      </c>
      <c r="F23">
        <v>3</v>
      </c>
      <c r="G23">
        <v>0</v>
      </c>
      <c r="H23">
        <v>1741</v>
      </c>
      <c r="I23" t="s">
        <v>51</v>
      </c>
      <c r="J23" t="s">
        <v>33</v>
      </c>
    </row>
    <row r="24" spans="1:21">
      <c r="A24" s="2">
        <v>45940</v>
      </c>
      <c r="B24" s="1">
        <v>2107.6628000000001</v>
      </c>
      <c r="C24" t="s">
        <v>24</v>
      </c>
      <c r="D24" t="s">
        <v>25</v>
      </c>
      <c r="E24" t="s">
        <v>26</v>
      </c>
      <c r="F24">
        <v>1</v>
      </c>
      <c r="G24">
        <v>0</v>
      </c>
      <c r="H24">
        <v>1715</v>
      </c>
      <c r="I24" t="s">
        <v>51</v>
      </c>
      <c r="J24" t="s">
        <v>28</v>
      </c>
    </row>
    <row r="25" spans="1:21">
      <c r="A25" s="2">
        <v>45944</v>
      </c>
      <c r="B25" s="1">
        <v>2109.5520000000001</v>
      </c>
      <c r="C25" t="s">
        <v>24</v>
      </c>
      <c r="D25" t="s">
        <v>25</v>
      </c>
      <c r="E25" t="s">
        <v>26</v>
      </c>
      <c r="F25">
        <v>6</v>
      </c>
      <c r="G25">
        <v>0</v>
      </c>
      <c r="H25">
        <v>1134</v>
      </c>
      <c r="I25" t="s">
        <v>52</v>
      </c>
      <c r="J25" t="s">
        <v>28</v>
      </c>
    </row>
    <row r="26" spans="1:21">
      <c r="A26" s="2">
        <v>46108</v>
      </c>
      <c r="B26" s="1">
        <v>2110.9560999999999</v>
      </c>
      <c r="C26" t="s">
        <v>24</v>
      </c>
      <c r="D26" t="s">
        <v>25</v>
      </c>
      <c r="E26" t="s">
        <v>26</v>
      </c>
      <c r="F26">
        <v>2</v>
      </c>
      <c r="G26">
        <v>1</v>
      </c>
      <c r="H26">
        <v>1311</v>
      </c>
      <c r="I26" t="s">
        <v>54</v>
      </c>
      <c r="J26" t="s">
        <v>28</v>
      </c>
    </row>
    <row r="27" spans="1:21">
      <c r="A27" s="2">
        <v>46112</v>
      </c>
      <c r="B27" s="1">
        <v>2111.1541999999999</v>
      </c>
      <c r="C27" t="s">
        <v>24</v>
      </c>
      <c r="D27" t="s">
        <v>25</v>
      </c>
      <c r="E27" t="s">
        <v>26</v>
      </c>
      <c r="F27">
        <v>5</v>
      </c>
      <c r="G27">
        <v>0</v>
      </c>
      <c r="H27">
        <v>1370</v>
      </c>
      <c r="I27" t="s">
        <v>55</v>
      </c>
      <c r="J27" t="s">
        <v>28</v>
      </c>
    </row>
    <row r="28" spans="1:21">
      <c r="A28" s="2">
        <v>46179</v>
      </c>
      <c r="B28">
        <v>2114</v>
      </c>
      <c r="C28" t="s">
        <v>24</v>
      </c>
      <c r="D28" t="s">
        <v>25</v>
      </c>
      <c r="E28" t="s">
        <v>26</v>
      </c>
      <c r="F28" s="14">
        <v>2</v>
      </c>
      <c r="G28" s="14">
        <v>0</v>
      </c>
      <c r="H28">
        <v>1570</v>
      </c>
      <c r="I28" t="s">
        <v>92</v>
      </c>
      <c r="J28" s="15" t="s">
        <v>28</v>
      </c>
    </row>
    <row r="29" spans="1:21">
      <c r="A29" s="2">
        <v>46182</v>
      </c>
      <c r="B29">
        <v>2115</v>
      </c>
      <c r="C29" t="s">
        <v>24</v>
      </c>
      <c r="D29" t="s">
        <v>25</v>
      </c>
      <c r="E29" t="s">
        <v>26</v>
      </c>
      <c r="F29" s="14">
        <v>3</v>
      </c>
      <c r="G29" s="14">
        <v>0</v>
      </c>
      <c r="H29">
        <v>1568</v>
      </c>
      <c r="I29" t="s">
        <v>97</v>
      </c>
      <c r="J29" s="15" t="s">
        <v>28</v>
      </c>
    </row>
    <row r="30" spans="1:21">
      <c r="A30" s="2"/>
      <c r="B30" s="1"/>
      <c r="C30" t="s">
        <v>24</v>
      </c>
      <c r="D30" t="s">
        <v>25</v>
      </c>
      <c r="E30" t="s">
        <v>26</v>
      </c>
      <c r="F30" s="14">
        <v>3</v>
      </c>
      <c r="G30" s="14">
        <v>0</v>
      </c>
      <c r="I30" t="s">
        <v>98</v>
      </c>
      <c r="J30" s="15" t="s">
        <v>99</v>
      </c>
    </row>
    <row r="31" spans="1:21">
      <c r="A31" s="2"/>
      <c r="C31" t="s">
        <v>24</v>
      </c>
      <c r="D31" t="s">
        <v>25</v>
      </c>
      <c r="E31" t="s">
        <v>26</v>
      </c>
      <c r="F31" s="14">
        <v>2</v>
      </c>
      <c r="G31" s="14">
        <v>0</v>
      </c>
      <c r="I31" t="s">
        <v>100</v>
      </c>
      <c r="J31" s="15" t="s">
        <v>99</v>
      </c>
    </row>
    <row r="32" spans="1:21">
      <c r="C32" t="s">
        <v>24</v>
      </c>
      <c r="D32" t="s">
        <v>34</v>
      </c>
      <c r="E32" t="s">
        <v>26</v>
      </c>
      <c r="F32" s="14">
        <v>3</v>
      </c>
      <c r="G32" s="14">
        <v>1</v>
      </c>
      <c r="I32" t="s">
        <v>101</v>
      </c>
      <c r="J32" s="15" t="s">
        <v>99</v>
      </c>
    </row>
    <row r="33" spans="3:10">
      <c r="C33" t="s">
        <v>24</v>
      </c>
      <c r="D33" t="s">
        <v>25</v>
      </c>
      <c r="E33" t="s">
        <v>26</v>
      </c>
      <c r="F33" s="14">
        <v>3</v>
      </c>
      <c r="G33" s="14">
        <v>2</v>
      </c>
      <c r="I33" t="s">
        <v>102</v>
      </c>
      <c r="J33" s="15" t="s">
        <v>99</v>
      </c>
    </row>
    <row r="34" spans="3:10">
      <c r="C34" t="s">
        <v>24</v>
      </c>
      <c r="D34" t="s">
        <v>25</v>
      </c>
      <c r="E34" t="s">
        <v>26</v>
      </c>
      <c r="F34" s="14">
        <v>3</v>
      </c>
      <c r="G34" s="14">
        <v>2</v>
      </c>
      <c r="I34" t="s">
        <v>103</v>
      </c>
      <c r="J34" s="15" t="s">
        <v>99</v>
      </c>
    </row>
    <row r="35" spans="3:10">
      <c r="C35" t="s">
        <v>24</v>
      </c>
      <c r="D35" t="s">
        <v>25</v>
      </c>
      <c r="E35" t="s">
        <v>26</v>
      </c>
      <c r="F35" s="14">
        <v>3</v>
      </c>
      <c r="G35" s="14">
        <v>1</v>
      </c>
      <c r="I35" t="s">
        <v>104</v>
      </c>
      <c r="J35" s="15" t="s">
        <v>99</v>
      </c>
    </row>
    <row r="36" spans="3:10">
      <c r="C36" s="16" t="s">
        <v>24</v>
      </c>
      <c r="D36" s="16" t="s">
        <v>34</v>
      </c>
      <c r="E36" s="16" t="s">
        <v>26</v>
      </c>
      <c r="F36" s="14">
        <v>2</v>
      </c>
      <c r="G36" s="14">
        <v>1</v>
      </c>
      <c r="H36" s="16"/>
      <c r="I36" s="16" t="s">
        <v>105</v>
      </c>
      <c r="J36" s="15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E4" sqref="E4"/>
    </sheetView>
  </sheetViews>
  <sheetFormatPr baseColWidth="10" defaultRowHeight="14.25"/>
  <cols>
    <col min="2" max="2" width="11.75" bestFit="1" customWidth="1"/>
  </cols>
  <sheetData>
    <row r="1" spans="1:5"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60</v>
      </c>
      <c r="B2">
        <f>+COUNT(desglose!F:F)</f>
        <v>35</v>
      </c>
      <c r="C2">
        <f>+COUNT(desglose!G:G)</f>
        <v>35</v>
      </c>
      <c r="D2">
        <f>+COUNT(desglose!Q:Q)</f>
        <v>18</v>
      </c>
      <c r="E2">
        <f>+COUNT(desglose!R:R)</f>
        <v>18</v>
      </c>
    </row>
    <row r="3" spans="1:5">
      <c r="A3" t="s">
        <v>61</v>
      </c>
      <c r="B3">
        <f>+SUM(desglose!F:F)</f>
        <v>89</v>
      </c>
      <c r="C3">
        <f>+SUM(desglose!G:G)</f>
        <v>15</v>
      </c>
      <c r="D3">
        <f>+SUM(desglose!Q:Q)</f>
        <v>34</v>
      </c>
      <c r="E3">
        <f>+SUM(desglose!R:R)</f>
        <v>13</v>
      </c>
    </row>
    <row r="4" spans="1:5">
      <c r="A4" t="s">
        <v>62</v>
      </c>
      <c r="B4">
        <f>+MIN(desglose!F:F)</f>
        <v>0</v>
      </c>
      <c r="C4">
        <f>+MIN(desglose!G:G)</f>
        <v>0</v>
      </c>
      <c r="D4">
        <f>+MIN(desglose!Q:Q)</f>
        <v>0</v>
      </c>
      <c r="E4">
        <f>+MIN(desglose!R:R)</f>
        <v>0</v>
      </c>
    </row>
    <row r="5" spans="1:5">
      <c r="A5" t="s">
        <v>63</v>
      </c>
      <c r="B5">
        <f>+MAX(desglose!F:F)</f>
        <v>7</v>
      </c>
      <c r="C5">
        <f>+MAX(desglose!G:G)</f>
        <v>2</v>
      </c>
      <c r="D5">
        <f>+MAX(desglose!Q:Q)</f>
        <v>3</v>
      </c>
      <c r="E5">
        <f>+MAX(desglose!R:R)</f>
        <v>2</v>
      </c>
    </row>
    <row r="6" spans="1:5">
      <c r="A6" t="s">
        <v>64</v>
      </c>
      <c r="B6">
        <f>AVERAGE(desglose!F:F)</f>
        <v>2.5428571428571427</v>
      </c>
      <c r="C6">
        <f>AVERAGE(desglose!G:G)</f>
        <v>0.42857142857142855</v>
      </c>
      <c r="D6">
        <f>AVERAGE(desglose!Q:Q)</f>
        <v>1.8888888888888888</v>
      </c>
      <c r="E6">
        <f>AVERAGE(desglose!R:R)</f>
        <v>0.72222222222222221</v>
      </c>
    </row>
    <row r="7" spans="1:5">
      <c r="A7" t="s">
        <v>65</v>
      </c>
      <c r="B7">
        <f>STDEV(desglose!F:F)^2</f>
        <v>2.5495798319327729</v>
      </c>
      <c r="C7">
        <f>STDEV(desglose!G:G)^2</f>
        <v>0.42857142857142849</v>
      </c>
      <c r="D7">
        <f>STDEV(desglose!Q:Q)^2</f>
        <v>0.92810457516339839</v>
      </c>
      <c r="E7">
        <f>STDEV(desglose!R:R)^2</f>
        <v>0.68300653594771243</v>
      </c>
    </row>
    <row r="8" spans="1:5">
      <c r="A8" t="s">
        <v>66</v>
      </c>
      <c r="B8" s="12">
        <f>+ABS(B6-B7)/MIN(B6:B7)</f>
        <v>2.6437541308658202E-3</v>
      </c>
      <c r="C8" s="12">
        <f>+ABS(C6-C7)/MIN(C6:C7)</f>
        <v>1.2952601953960163E-16</v>
      </c>
      <c r="D8" s="12">
        <f>+ABS(D6-D7)/MIN(D6:D7)</f>
        <v>1.0352112676056344</v>
      </c>
      <c r="E8" s="12">
        <f>+ABS(E6-E7)/MIN(E6:E7)</f>
        <v>5.7416267942583692E-2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94"/>
  <sheetViews>
    <sheetView tabSelected="1" workbookViewId="0">
      <selection activeCell="B6" sqref="B6"/>
    </sheetView>
  </sheetViews>
  <sheetFormatPr baseColWidth="10" defaultRowHeight="14.25"/>
  <cols>
    <col min="7" max="7" width="12" bestFit="1" customWidth="1"/>
    <col min="11" max="11" width="12" bestFit="1" customWidth="1"/>
    <col min="15" max="15" width="12" bestFit="1" customWidth="1"/>
  </cols>
  <sheetData>
    <row r="1" spans="1:33">
      <c r="B1" s="26" t="s">
        <v>67</v>
      </c>
      <c r="C1" s="23"/>
      <c r="D1" s="23"/>
      <c r="E1" s="24"/>
      <c r="F1" s="25" t="s">
        <v>68</v>
      </c>
      <c r="G1" s="23"/>
      <c r="H1" s="23"/>
      <c r="I1" s="23"/>
      <c r="J1" s="22" t="s">
        <v>69</v>
      </c>
      <c r="K1" s="23"/>
      <c r="L1" s="23"/>
      <c r="M1" s="24"/>
      <c r="N1" s="17" t="s">
        <v>70</v>
      </c>
      <c r="O1" s="18"/>
      <c r="P1" s="18"/>
      <c r="Q1" s="18"/>
      <c r="R1" s="26" t="s">
        <v>69</v>
      </c>
      <c r="S1" s="23"/>
      <c r="T1" s="23"/>
      <c r="U1" s="24"/>
      <c r="V1" s="28" t="s">
        <v>71</v>
      </c>
      <c r="W1" s="23"/>
      <c r="X1" s="23"/>
      <c r="Y1" s="24"/>
      <c r="Z1" s="22" t="s">
        <v>69</v>
      </c>
      <c r="AA1" s="23"/>
      <c r="AB1" s="23"/>
      <c r="AC1" s="24"/>
      <c r="AD1">
        <f>+'estadísticos descriptivos'!B$6^2/('estadísticos descriptivos'!B$7-'estadísticos descriptivos'!B$6)</f>
        <v>961.83571428571759</v>
      </c>
      <c r="AE1">
        <f>+'estadísticos descriptivos'!C$6^2/('estadísticos descriptivos'!C$7-'estadísticos descriptivos'!C$6)</f>
        <v>-3308767073170160</v>
      </c>
      <c r="AF1">
        <f>+'estadísticos descriptivos'!D$6^2/('estadísticos descriptivos'!D$7-'estadísticos descriptivos'!D$6)</f>
        <v>-3.7135298563869981</v>
      </c>
      <c r="AG1">
        <f>+'estadísticos descriptivos'!E$6^2/('estadísticos descriptivos'!E$7-'estadísticos descriptivos'!E$6)</f>
        <v>-13.300925925925934</v>
      </c>
    </row>
    <row r="2" spans="1:33" ht="15" customHeight="1" thickBot="1">
      <c r="B2" s="19" t="s">
        <v>72</v>
      </c>
      <c r="C2" s="18"/>
      <c r="D2" s="20" t="s">
        <v>73</v>
      </c>
      <c r="E2" s="21"/>
      <c r="F2" s="19" t="s">
        <v>72</v>
      </c>
      <c r="G2" s="18"/>
      <c r="H2" s="27" t="s">
        <v>73</v>
      </c>
      <c r="I2" s="18"/>
      <c r="J2" s="27" t="s">
        <v>72</v>
      </c>
      <c r="K2" s="18"/>
      <c r="L2" s="20" t="s">
        <v>73</v>
      </c>
      <c r="M2" s="21"/>
      <c r="N2" s="27" t="s">
        <v>72</v>
      </c>
      <c r="O2" s="18"/>
      <c r="P2" s="27" t="s">
        <v>73</v>
      </c>
      <c r="Q2" s="18"/>
      <c r="R2" s="19" t="s">
        <v>72</v>
      </c>
      <c r="S2" s="18"/>
      <c r="T2" s="20" t="s">
        <v>73</v>
      </c>
      <c r="U2" s="21"/>
      <c r="V2" s="19" t="s">
        <v>72</v>
      </c>
      <c r="W2" s="18"/>
      <c r="X2" s="20" t="s">
        <v>73</v>
      </c>
      <c r="Y2" s="21"/>
      <c r="Z2" s="27" t="s">
        <v>72</v>
      </c>
      <c r="AA2" s="18"/>
      <c r="AB2" s="20" t="s">
        <v>73</v>
      </c>
      <c r="AC2" s="21"/>
      <c r="AD2">
        <f>+'estadísticos descriptivos'!B$6/('estadísticos descriptivos'!B$7-'estadísticos descriptivos'!B$6)</f>
        <v>378.25000000000131</v>
      </c>
      <c r="AE2">
        <f>+'estadísticos descriptivos'!C$6/('estadísticos descriptivos'!C$7-'estadísticos descriptivos'!C$6)</f>
        <v>-7720456504063707</v>
      </c>
      <c r="AF2">
        <f>+'estadísticos descriptivos'!D$6/('estadísticos descriptivos'!D$7-'estadísticos descriptivos'!D$6)</f>
        <v>-1.9659863945578226</v>
      </c>
      <c r="AG2">
        <f>+'estadísticos descriptivos'!E$6/('estadísticos descriptivos'!E$7-'estadísticos descriptivos'!E$6)</f>
        <v>-18.416666666666679</v>
      </c>
    </row>
    <row r="3" spans="1:33" ht="15" customHeight="1" thickBot="1">
      <c r="A3" s="8" t="s">
        <v>74</v>
      </c>
      <c r="B3" s="5" t="s">
        <v>56</v>
      </c>
      <c r="C3" s="6" t="s">
        <v>57</v>
      </c>
      <c r="D3" s="6" t="s">
        <v>75</v>
      </c>
      <c r="E3" s="7" t="s">
        <v>76</v>
      </c>
      <c r="F3" s="5" t="s">
        <v>77</v>
      </c>
      <c r="G3" s="6" t="s">
        <v>78</v>
      </c>
      <c r="H3" s="6" t="s">
        <v>77</v>
      </c>
      <c r="I3" s="6" t="s">
        <v>77</v>
      </c>
      <c r="J3" s="6" t="str">
        <f>IF(_xlfn.CHISQ.DIST.RT(SUM(J4:J94),90-1)&lt;=0.05,"rechazar","no rechazar")</f>
        <v>no rechazar</v>
      </c>
      <c r="K3" s="6" t="str">
        <f>IF(_xlfn.CHISQ.DIST.RT(SUM(K4:K94),90-1)&lt;=0.05,"rechazar","no rechazar")</f>
        <v>no rechazar</v>
      </c>
      <c r="L3" s="6" t="str">
        <f>IF(_xlfn.CHISQ.DIST.RT(SUM(L4:L94),90-1)&lt;=0.05,"rechazar","no rechazar")</f>
        <v>no rechazar</v>
      </c>
      <c r="M3" s="6" t="str">
        <f>IF(_xlfn.CHISQ.DIST.RT(SUM(M4:M94),90-1)&lt;=0.05,"rechazar","no rechazar")</f>
        <v>no rechazar</v>
      </c>
      <c r="N3" s="5" t="s">
        <v>79</v>
      </c>
      <c r="O3" s="6" t="s">
        <v>80</v>
      </c>
      <c r="P3" s="6" t="s">
        <v>79</v>
      </c>
      <c r="Q3" s="6" t="s">
        <v>81</v>
      </c>
      <c r="R3" s="5" t="str">
        <f>IF(_xlfn.CHISQ.DIST.RT(SUM(R4:R94),90-1)&lt;=0.05,"rechazar","no rechazar")</f>
        <v>no rechazar</v>
      </c>
      <c r="S3" s="6" t="str">
        <f>IF(_xlfn.CHISQ.DIST.RT(SUM(S4:S94),90-1)&lt;=0.05,"rechazar","no rechazar")</f>
        <v>no rechazar</v>
      </c>
      <c r="T3" s="6" t="str">
        <f>IF(_xlfn.CHISQ.DIST.RT(SUM(T4:T94),90-1)&lt;=0.05,"rechazar","no rechazar")</f>
        <v>no rechazar</v>
      </c>
      <c r="U3" s="7" t="str">
        <f>IF(_xlfn.CHISQ.DIST.RT(SUM(U4:U94),90-1)&lt;=0.05,"rechazar","no rechazar")</f>
        <v>no rechazar</v>
      </c>
      <c r="V3" s="3" t="s">
        <v>82</v>
      </c>
      <c r="W3" t="s">
        <v>83</v>
      </c>
      <c r="X3" t="s">
        <v>82</v>
      </c>
      <c r="Y3" s="4" t="s">
        <v>82</v>
      </c>
      <c r="Z3" t="str">
        <f>IF(_xlfn.CHISQ.DIST.RT(SUM(Z4:Z94),90-1)&lt;=0.05,"rechazar","no rechazar")</f>
        <v>no rechazar</v>
      </c>
      <c r="AA3" t="str">
        <f>IF(_xlfn.CHISQ.DIST.RT(SUM(AA4:AA94),90-1)&lt;=0.05,"rechazar","no rechazar")</f>
        <v>no rechazar</v>
      </c>
      <c r="AB3" t="str">
        <f>IF(_xlfn.CHISQ.DIST.RT(SUM(AB4:AB94),90-1)&lt;=0.05,"rechazar","no rechazar")</f>
        <v>no rechazar</v>
      </c>
      <c r="AC3" s="4" t="str">
        <f>IF(_xlfn.CHISQ.DIST.RT(SUM(AC4:AC94),90-1)&lt;=0.05,"rechazar","no rechazar")</f>
        <v>no rechazar</v>
      </c>
    </row>
    <row r="4" spans="1:33">
      <c r="A4">
        <v>0</v>
      </c>
      <c r="B4" s="3">
        <f>+COUNTIF(desglose!F:F,'pruebas de bondad de ajuste'!$A4)</f>
        <v>1</v>
      </c>
      <c r="C4">
        <f>+COUNTIF(desglose!G:G,'pruebas de bondad de ajuste'!$A4)</f>
        <v>23</v>
      </c>
      <c r="D4">
        <f>+COUNTIF(desglose!Q:Q,'pruebas de bondad de ajuste'!$A4)</f>
        <v>1</v>
      </c>
      <c r="E4" s="4">
        <f>+COUNTIF(desglose!R:R,'pruebas de bondad de ajuste'!$A4)</f>
        <v>9</v>
      </c>
      <c r="F4" s="3">
        <f>+_xlfn.POISSON.DIST($A4,'estadísticos descriptivos'!B$6,0)*'estadísticos descriptivos'!B$2</f>
        <v>2.752448608600635</v>
      </c>
      <c r="G4">
        <f>+_xlfn.POISSON.DIST($A4,'estadísticos descriptivos'!C$6,0)*'estadísticos descriptivos'!C$2</f>
        <v>22.800367013586946</v>
      </c>
      <c r="H4">
        <f>+_xlfn.POISSON.DIST($A4,'estadísticos descriptivos'!D$6,0)*'estadísticos descriptivos'!D$2</f>
        <v>2.7223156744289239</v>
      </c>
      <c r="I4">
        <f>+_xlfn.POISSON.DIST($A4,'estadísticos descriptivos'!E$6,0)*'estadísticos descriptivos'!E$2</f>
        <v>8.7420921344588223</v>
      </c>
      <c r="J4">
        <f t="shared" ref="J4:J35" si="0">+($B4-F4)^2/F4</f>
        <v>1.1157614773224265</v>
      </c>
      <c r="K4">
        <f t="shared" ref="K4:K35" si="1">+($C4-G4)^2/G4</f>
        <v>1.747924901403803E-3</v>
      </c>
      <c r="L4">
        <f t="shared" ref="L4:L35" si="2">+($D4-H4)^2/H4</f>
        <v>1.0896500028439324</v>
      </c>
      <c r="M4" s="4">
        <f t="shared" ref="M4:M35" si="3">+($E4-I4)^2/I4</f>
        <v>7.6087584167429849E-3</v>
      </c>
      <c r="N4">
        <f>BINOMDIST($A4,90,'estadísticos descriptivos'!B$6/90,0)*'estadísticos descriptivos'!B$2</f>
        <v>2.6534925158659179</v>
      </c>
      <c r="O4">
        <f>BINOMDIST($A4,90,'estadísticos descriptivos'!C$6/90,0)*'estadísticos descriptivos'!C$2</f>
        <v>22.777039150792511</v>
      </c>
      <c r="P4">
        <f>BINOMDIST($A4,90,'estadísticos descriptivos'!D$6/90,0)*'estadísticos descriptivos'!D$2</f>
        <v>2.6681341690774603</v>
      </c>
      <c r="Q4">
        <f>BINOMDIST($A4,90,'estadísticos descriptivos'!E$6/90,0)*'estadísticos descriptivos'!E$2</f>
        <v>8.7166599727120175</v>
      </c>
      <c r="R4" s="3">
        <f t="shared" ref="R4:R35" si="4">+($B4-N4)^2/N4</f>
        <v>1.0303543287486532</v>
      </c>
      <c r="S4">
        <f t="shared" ref="S4:S35" si="5">+($C4-O4)^2/O4</f>
        <v>2.1825286399261815E-3</v>
      </c>
      <c r="T4">
        <f t="shared" ref="T4:T35" si="6">+($D4-P4)^2/P4</f>
        <v>1.0429279150552955</v>
      </c>
      <c r="U4">
        <f t="shared" ref="U4:U35" si="7">+($E4-Q4)^2/Q4</f>
        <v>9.2101299482692349E-3</v>
      </c>
      <c r="V4" s="9">
        <f>+(AD$2/(1+AD$2))^AD$1*'estadísticos descriptivos'!B$2</f>
        <v>2.7616997745613054</v>
      </c>
      <c r="W4" s="10">
        <f>+(AE$2/(1+AE$2))^AE$1*'estadísticos descriptivos'!C$2</f>
        <v>16.787829409051554</v>
      </c>
      <c r="X4" s="10">
        <f>+(AF$2/(1+AF$2))^AF$1*'estadísticos descriptivos'!D$2</f>
        <v>1.2860028140796311</v>
      </c>
      <c r="Y4" s="11">
        <f>+(AG$2/(1+AG$2))^AG$1*'estadísticos descriptivos'!E$2</f>
        <v>8.5660069096811569</v>
      </c>
      <c r="Z4" s="10">
        <f t="shared" ref="Z4:Z35" si="8">+($B4-V4)^2/V4</f>
        <v>1.1237956146708081</v>
      </c>
      <c r="AA4" s="10">
        <f t="shared" ref="AA4:AA35" si="9">+($C4-W4)^2/W4</f>
        <v>2.2987524182392209</v>
      </c>
      <c r="AB4" s="10">
        <f t="shared" ref="AB4:AB35" si="10">+($D4-X4)^2/X4</f>
        <v>6.3606089167082519E-2</v>
      </c>
      <c r="AC4" s="11">
        <f t="shared" ref="AC4:AC35" si="11">+($E4-Y4)^2/Y4</f>
        <v>2.1988075007461125E-2</v>
      </c>
    </row>
    <row r="5" spans="1:33">
      <c r="A5">
        <f t="shared" ref="A5:A36" si="12">1+A4</f>
        <v>1</v>
      </c>
      <c r="B5" s="3">
        <f>+COUNTIF(desglose!F:F,'pruebas de bondad de ajuste'!$A5)</f>
        <v>9</v>
      </c>
      <c r="C5">
        <f>+COUNTIF(desglose!G:G,'pruebas de bondad de ajuste'!$A5)</f>
        <v>9</v>
      </c>
      <c r="D5">
        <f>+COUNTIF(desglose!Q:Q,'pruebas de bondad de ajuste'!$A5)</f>
        <v>6</v>
      </c>
      <c r="E5" s="4">
        <f>+COUNTIF(desglose!R:R,'pruebas de bondad de ajuste'!$A5)/'estadísticos descriptivos'!E$2</f>
        <v>0.27777777777777779</v>
      </c>
      <c r="F5" s="3">
        <f>+_xlfn.POISSON.DIST($A5,'estadísticos descriptivos'!B$6,0)*'estadísticos descriptivos'!B$2</f>
        <v>6.9990836047273293</v>
      </c>
      <c r="G5">
        <f>+_xlfn.POISSON.DIST($A5,'estadísticos descriptivos'!C$6,0)*'estadísticos descriptivos'!C$2</f>
        <v>9.7715858629658321</v>
      </c>
      <c r="H5">
        <f>+_xlfn.POISSON.DIST($A5,'estadísticos descriptivos'!D$6,0)*'estadísticos descriptivos'!D$2</f>
        <v>5.1421518294768562</v>
      </c>
      <c r="I5">
        <f>+_xlfn.POISSON.DIST($A5,'estadísticos descriptivos'!E$6,0)*'estadísticos descriptivos'!E$2</f>
        <v>6.3137332082202597</v>
      </c>
      <c r="J5">
        <f t="shared" si="0"/>
        <v>0.5720272319888875</v>
      </c>
      <c r="K5">
        <f t="shared" si="1"/>
        <v>6.0926112943967027E-2</v>
      </c>
      <c r="L5">
        <f t="shared" si="2"/>
        <v>0.14311197103349102</v>
      </c>
      <c r="M5" s="4">
        <f t="shared" si="3"/>
        <v>5.7703987097291201</v>
      </c>
      <c r="N5">
        <f>BINOMDIST($A5,90,'estadísticos descriptivos'!B$6/90,0)*'estadísticos descriptivos'!B$2</f>
        <v>6.9436377171140151</v>
      </c>
      <c r="O5">
        <f>BINOMDIST($A5,90,'estadísticos descriptivos'!C$6/90,0)*'estadísticos descriptivos'!C$2</f>
        <v>9.8082943711546697</v>
      </c>
      <c r="P5">
        <f>BINOMDIST($A5,90,'estadísticos descriptivos'!D$6/90,0)*'estadísticos descriptivos'!D$2</f>
        <v>5.147850288384002</v>
      </c>
      <c r="Q5">
        <f>BINOMDIST($A5,90,'estadísticos descriptivos'!E$6/90,0)*'estadísticos descriptivos'!E$2</f>
        <v>6.3462925750299064</v>
      </c>
      <c r="R5" s="3">
        <f t="shared" si="4"/>
        <v>0.60899286667185215</v>
      </c>
      <c r="S5">
        <f t="shared" si="5"/>
        <v>6.6610948419506835E-2</v>
      </c>
      <c r="T5">
        <f t="shared" si="6"/>
        <v>0.14106065451161018</v>
      </c>
      <c r="U5">
        <f t="shared" si="7"/>
        <v>5.8028953769586487</v>
      </c>
      <c r="V5" s="3">
        <f t="shared" ref="V5:V36" si="13">+($A5+AD$1)/(($A5+1)*(1+AD$2))*V4</f>
        <v>3.5056864536353731</v>
      </c>
      <c r="W5">
        <f t="shared" ref="W5:W36" si="14">+($A5+AE$1)/(($A5+1)*(1+AE$2))*W4</f>
        <v>3.5973920162253323</v>
      </c>
      <c r="X5">
        <f t="shared" ref="X5:X36" si="15">+($A5+AF$1)/(($A5+1)*(1+AF$2))*X4</f>
        <v>1.8062402592120017</v>
      </c>
      <c r="Y5" s="4">
        <f t="shared" ref="Y5:Y36" si="16">+($A5+AG$1)/(($A5+1)*(1+AG$2))*Y4</f>
        <v>3.0249708079509348</v>
      </c>
      <c r="Z5">
        <f t="shared" si="8"/>
        <v>8.6110043624870176</v>
      </c>
      <c r="AA5">
        <f t="shared" si="9"/>
        <v>8.113703731675125</v>
      </c>
      <c r="AB5">
        <f t="shared" si="10"/>
        <v>9.7371435908128134</v>
      </c>
      <c r="AC5" s="4">
        <f t="shared" si="11"/>
        <v>2.4949230998180223</v>
      </c>
    </row>
    <row r="6" spans="1:33">
      <c r="A6">
        <f t="shared" si="12"/>
        <v>2</v>
      </c>
      <c r="B6" s="3">
        <f>+COUNTIF(desglose!F:F,'pruebas de bondad de ajuste'!$A6)</f>
        <v>9</v>
      </c>
      <c r="C6">
        <f>+COUNTIF(desglose!G:G,'pruebas de bondad de ajuste'!$A6)</f>
        <v>3</v>
      </c>
      <c r="D6">
        <f>+COUNTIF(desglose!Q:Q,'pruebas de bondad de ajuste'!$A6)/'estadísticos descriptivos'!D$2</f>
        <v>0.27777777777777779</v>
      </c>
      <c r="E6" s="4">
        <f>+COUNTIF(desglose!R:R,'pruebas de bondad de ajuste'!$A6)/'estadísticos descriptivos'!E$2</f>
        <v>0.22222222222222221</v>
      </c>
      <c r="F6" s="3">
        <f>+_xlfn.POISSON.DIST($A6,'estadísticos descriptivos'!B$6,0)*'estadísticos descriptivos'!B$2</f>
        <v>8.8988348688676044</v>
      </c>
      <c r="G6">
        <f>+_xlfn.POISSON.DIST($A6,'estadísticos descriptivos'!C$6,0)*'estadísticos descriptivos'!C$2</f>
        <v>2.0939112563498212</v>
      </c>
      <c r="H6">
        <f>+_xlfn.POISSON.DIST($A6,'estadísticos descriptivos'!D$6,0)*'estadísticos descriptivos'!D$2</f>
        <v>4.8564767278392535</v>
      </c>
      <c r="I6">
        <f>+_xlfn.POISSON.DIST($A6,'estadísticos descriptivos'!E$6,0)*'estadísticos descriptivos'!E$2</f>
        <v>2.2799592140795379</v>
      </c>
      <c r="J6">
        <f t="shared" si="0"/>
        <v>1.150081320515293E-3</v>
      </c>
      <c r="K6">
        <f t="shared" si="1"/>
        <v>0.3920876822644096</v>
      </c>
      <c r="L6">
        <f t="shared" si="2"/>
        <v>4.3168093352774273</v>
      </c>
      <c r="M6" s="4">
        <f t="shared" si="3"/>
        <v>1.8571742430784897</v>
      </c>
      <c r="N6">
        <f>BINOMDIST($A6,90,'estadísticos descriptivos'!B$6/90,0)*'estadísticos descriptivos'!B$2</f>
        <v>8.9840827110846302</v>
      </c>
      <c r="O6">
        <f>BINOMDIST($A6,90,'estadísticos descriptivos'!C$6/90,0)*'estadísticos descriptivos'!C$2</f>
        <v>2.0883688972075727</v>
      </c>
      <c r="P6">
        <f>BINOMDIST($A6,90,'estadísticos descriptivos'!D$6/90,0)*'estadísticos descriptivos'!D$2</f>
        <v>4.9109063595996201</v>
      </c>
      <c r="Q6">
        <f>BINOMDIST($A6,90,'estadísticos descriptivos'!E$6/90,0)*'estadísticos descriptivos'!E$2</f>
        <v>2.284586343904667</v>
      </c>
      <c r="R6" s="3">
        <f t="shared" si="4"/>
        <v>2.820099664741031E-5</v>
      </c>
      <c r="S6">
        <f t="shared" si="5"/>
        <v>0.39795232953803811</v>
      </c>
      <c r="T6">
        <f t="shared" si="6"/>
        <v>4.3710628718737299</v>
      </c>
      <c r="U6">
        <f t="shared" si="7"/>
        <v>1.8617575044826093</v>
      </c>
      <c r="V6" s="3">
        <f t="shared" si="13"/>
        <v>2.9698139372457946</v>
      </c>
      <c r="W6">
        <f t="shared" si="14"/>
        <v>0.51391314517504716</v>
      </c>
      <c r="X6">
        <f t="shared" si="15"/>
        <v>1.0680090421579571</v>
      </c>
      <c r="Y6" s="4">
        <f t="shared" si="16"/>
        <v>0.65425781873190081</v>
      </c>
      <c r="Z6">
        <f t="shared" si="8"/>
        <v>12.244249882252976</v>
      </c>
      <c r="AA6">
        <f t="shared" si="9"/>
        <v>12.026600034969341</v>
      </c>
      <c r="AB6">
        <f t="shared" si="10"/>
        <v>0.58470052832337283</v>
      </c>
      <c r="AC6" s="4">
        <f t="shared" si="11"/>
        <v>0.28529235923118629</v>
      </c>
    </row>
    <row r="7" spans="1:33">
      <c r="A7">
        <f t="shared" si="12"/>
        <v>3</v>
      </c>
      <c r="B7" s="3">
        <f>+COUNTIF(desglose!F:F,'pruebas de bondad de ajuste'!$A7)</f>
        <v>10</v>
      </c>
      <c r="C7">
        <f>+COUNTIF(desglose!G:G,'pruebas de bondad de ajuste'!$A7)</f>
        <v>0</v>
      </c>
      <c r="D7">
        <f>+COUNTIF(desglose!Q:Q,'pruebas de bondad de ajuste'!$A7)/'estadísticos descriptivos'!D$2</f>
        <v>0.33333333333333331</v>
      </c>
      <c r="E7" s="4">
        <f>+COUNTIF(desglose!R:R,'pruebas de bondad de ajuste'!$A7)/'estadísticos descriptivos'!E$2</f>
        <v>0</v>
      </c>
      <c r="F7" s="3">
        <f>+_xlfn.POISSON.DIST($A7,'estadísticos descriptivos'!B$6,0)*'estadísticos descriptivos'!B$2</f>
        <v>7.5428219364687301</v>
      </c>
      <c r="G7">
        <f>+_xlfn.POISSON.DIST($A7,'estadísticos descriptivos'!C$6,0)*'estadísticos descriptivos'!C$2</f>
        <v>0.29913017947854587</v>
      </c>
      <c r="H7">
        <f>+_xlfn.POISSON.DIST($A7,'estadísticos descriptivos'!D$6,0)*'estadísticos descriptivos'!D$2</f>
        <v>3.0577816434543439</v>
      </c>
      <c r="I7">
        <f>+_xlfn.POISSON.DIST($A7,'estadísticos descriptivos'!E$6,0)*'estadísticos descriptivos'!E$2</f>
        <v>0.54887907005618508</v>
      </c>
      <c r="J7">
        <f t="shared" si="0"/>
        <v>0.80045957424866909</v>
      </c>
      <c r="K7">
        <f t="shared" si="1"/>
        <v>0.29913017947854587</v>
      </c>
      <c r="L7">
        <f t="shared" si="2"/>
        <v>2.427452140152158</v>
      </c>
      <c r="M7" s="4">
        <f t="shared" si="3"/>
        <v>0.54887907005618508</v>
      </c>
      <c r="N7">
        <f>BINOMDIST($A7,90,'estadísticos descriptivos'!B$6/90,0)*'estadísticos descriptivos'!B$2</f>
        <v>7.662347358511906</v>
      </c>
      <c r="O7">
        <f>BINOMDIST($A7,90,'estadísticos descriptivos'!C$6/90,0)*'estadísticos descriptivos'!C$2</f>
        <v>0.29310440662562443</v>
      </c>
      <c r="P7">
        <f>BINOMDIST($A7,90,'estadísticos descriptivos'!D$6/90,0)*'estadísticos descriptivos'!D$2</f>
        <v>3.0881529692984575</v>
      </c>
      <c r="Q7">
        <f>BINOMDIST($A7,90,'estadísticos descriptivos'!E$6/90,0)*'estadísticos descriptivos'!E$2</f>
        <v>0.54212129795207209</v>
      </c>
      <c r="R7" s="3">
        <f t="shared" si="4"/>
        <v>0.71317830118805003</v>
      </c>
      <c r="S7">
        <f t="shared" si="5"/>
        <v>0.29310440662562443</v>
      </c>
      <c r="T7">
        <f t="shared" si="6"/>
        <v>2.4574660977441916</v>
      </c>
      <c r="U7">
        <f t="shared" si="7"/>
        <v>0.54212129795207209</v>
      </c>
      <c r="V7" s="3">
        <f t="shared" si="13"/>
        <v>1.8888480892803003</v>
      </c>
      <c r="W7">
        <f t="shared" si="14"/>
        <v>5.5062122697326438E-2</v>
      </c>
      <c r="X7">
        <f t="shared" si="15"/>
        <v>0.19722232703386353</v>
      </c>
      <c r="Y7" s="4">
        <f t="shared" si="16"/>
        <v>9.673867933801697E-2</v>
      </c>
      <c r="Z7">
        <f t="shared" si="8"/>
        <v>34.831168103010242</v>
      </c>
      <c r="AA7">
        <f t="shared" si="9"/>
        <v>5.5062122697326438E-2</v>
      </c>
      <c r="AB7">
        <f t="shared" si="10"/>
        <v>9.3935642655069748E-2</v>
      </c>
      <c r="AC7" s="4">
        <f t="shared" si="11"/>
        <v>9.673867933801697E-2</v>
      </c>
    </row>
    <row r="8" spans="1:33">
      <c r="A8">
        <f t="shared" si="12"/>
        <v>4</v>
      </c>
      <c r="B8" s="3">
        <f>+COUNTIF(desglose!F:F,'pruebas de bondad de ajuste'!$A8)</f>
        <v>2</v>
      </c>
      <c r="C8">
        <f>+COUNTIF(desglose!G:G,'pruebas de bondad de ajuste'!$A8)</f>
        <v>0</v>
      </c>
      <c r="D8">
        <f>+COUNTIF(desglose!Q:Q,'pruebas de bondad de ajuste'!$A8)/'estadísticos descriptivos'!D$2</f>
        <v>0</v>
      </c>
      <c r="E8" s="4">
        <f>+COUNTIF(desglose!R:R,'pruebas de bondad de ajuste'!$A8)/'estadísticos descriptivos'!E$2</f>
        <v>0</v>
      </c>
      <c r="F8" s="3">
        <f>+_xlfn.POISSON.DIST($A8,'estadísticos descriptivos'!B$6,0)*'estadísticos descriptivos'!B$2</f>
        <v>4.7950796596122647</v>
      </c>
      <c r="G8">
        <f>+_xlfn.POISSON.DIST($A8,'estadísticos descriptivos'!C$6,0)*'estadísticos descriptivos'!C$2</f>
        <v>3.2049662086987049E-2</v>
      </c>
      <c r="H8">
        <f>+_xlfn.POISSON.DIST($A8,'estadísticos descriptivos'!D$6,0)*'estadísticos descriptivos'!D$2</f>
        <v>1.4439524427423296</v>
      </c>
      <c r="I8">
        <f>+_xlfn.POISSON.DIST($A8,'estadísticos descriptivos'!E$6,0)*'estadísticos descriptivos'!E$2</f>
        <v>9.9103165426811177E-2</v>
      </c>
      <c r="J8">
        <f t="shared" si="0"/>
        <v>1.6292680952478562</v>
      </c>
      <c r="K8">
        <f t="shared" si="1"/>
        <v>3.2049662086987049E-2</v>
      </c>
      <c r="L8">
        <f t="shared" si="2"/>
        <v>1.4439524427423294</v>
      </c>
      <c r="M8" s="4">
        <f t="shared" si="3"/>
        <v>9.9103165426811177E-2</v>
      </c>
      <c r="N8">
        <f>BINOMDIST($A8,90,'estadísticos descriptivos'!B$6/90,0)*'estadísticos descriptivos'!B$2</f>
        <v>4.8456023845930813</v>
      </c>
      <c r="O8">
        <f>BINOMDIST($A8,90,'estadísticos descriptivos'!C$6/90,0)*'estadísticos descriptivos'!C$2</f>
        <v>3.0502492077068566E-2</v>
      </c>
      <c r="P8">
        <f>BINOMDIST($A8,90,'estadísticos descriptivos'!D$6/90,0)*'estadísticos descriptivos'!D$2</f>
        <v>1.439904868093449</v>
      </c>
      <c r="Q8">
        <f>BINOMDIST($A8,90,'estadísticos descriptivos'!E$6/90,0)*'estadísticos descriptivos'!E$2</f>
        <v>9.5385685747323284E-2</v>
      </c>
      <c r="R8" s="3">
        <f t="shared" si="4"/>
        <v>1.6710931456010973</v>
      </c>
      <c r="S8">
        <f t="shared" si="5"/>
        <v>3.0502492077068566E-2</v>
      </c>
      <c r="T8">
        <f t="shared" si="6"/>
        <v>1.439904868093449</v>
      </c>
      <c r="U8">
        <f t="shared" si="7"/>
        <v>9.5385685747323284E-2</v>
      </c>
      <c r="V8" s="3">
        <f t="shared" si="13"/>
        <v>0.96206562609742663</v>
      </c>
      <c r="W8">
        <f t="shared" si="14"/>
        <v>4.7196105169136898E-3</v>
      </c>
      <c r="X8">
        <f t="shared" si="15"/>
        <v>-1.1697537080725292E-2</v>
      </c>
      <c r="Y8" s="4">
        <f t="shared" si="16"/>
        <v>1.0332164103672308E-2</v>
      </c>
      <c r="Z8">
        <f t="shared" si="8"/>
        <v>1.1197861510743028</v>
      </c>
      <c r="AA8">
        <f t="shared" si="9"/>
        <v>4.7196105169136898E-3</v>
      </c>
      <c r="AB8">
        <f t="shared" si="10"/>
        <v>-1.1697537080725292E-2</v>
      </c>
      <c r="AC8" s="4">
        <f t="shared" si="11"/>
        <v>1.0332164103672308E-2</v>
      </c>
    </row>
    <row r="9" spans="1:33">
      <c r="A9">
        <f t="shared" si="12"/>
        <v>5</v>
      </c>
      <c r="B9" s="3">
        <f>+COUNTIF(desglose!F:F,'pruebas de bondad de ajuste'!$A9)</f>
        <v>1</v>
      </c>
      <c r="C9">
        <f>+COUNTIF(desglose!G:G,'pruebas de bondad de ajuste'!$A9)</f>
        <v>0</v>
      </c>
      <c r="D9">
        <f>+COUNTIF(desglose!Q:Q,'pruebas de bondad de ajuste'!$A9)/'estadísticos descriptivos'!D$2</f>
        <v>0</v>
      </c>
      <c r="E9" s="4">
        <f>+COUNTIF(desglose!R:R,'pruebas de bondad de ajuste'!$A9)/'estadísticos descriptivos'!E$2</f>
        <v>0</v>
      </c>
      <c r="F9" s="3">
        <f>+_xlfn.POISSON.DIST($A9,'estadísticos descriptivos'!B$6,0)*'estadísticos descriptivos'!B$2</f>
        <v>2.4386405126028081</v>
      </c>
      <c r="G9">
        <f>+_xlfn.POISSON.DIST($A9,'estadísticos descriptivos'!C$6,0)*'estadísticos descriptivos'!C$2</f>
        <v>2.7471138931703201E-3</v>
      </c>
      <c r="H9">
        <f>+_xlfn.POISSON.DIST($A9,'estadísticos descriptivos'!D$6,0)*'estadísticos descriptivos'!D$2</f>
        <v>0.54549314503599122</v>
      </c>
      <c r="I9">
        <f>+_xlfn.POISSON.DIST($A9,'estadísticos descriptivos'!E$6,0)*'estadísticos descriptivos'!E$2</f>
        <v>1.4314901672761619E-2</v>
      </c>
      <c r="J9">
        <f t="shared" si="0"/>
        <v>0.84870505259221429</v>
      </c>
      <c r="K9">
        <f t="shared" si="1"/>
        <v>2.7471138931703201E-3</v>
      </c>
      <c r="L9">
        <f t="shared" si="2"/>
        <v>0.54549314503599122</v>
      </c>
      <c r="M9" s="4">
        <f t="shared" si="3"/>
        <v>1.4314901672761619E-2</v>
      </c>
      <c r="N9">
        <f>BINOMDIST($A9,90,'estadísticos descriptivos'!B$6/90,0)*'estadísticos descriptivos'!B$2</f>
        <v>2.4232760961565134</v>
      </c>
      <c r="O9">
        <f>BINOMDIST($A9,90,'estadísticos descriptivos'!C$6/90,0)*'estadísticos descriptivos'!C$2</f>
        <v>2.5102529364860256E-3</v>
      </c>
      <c r="P9">
        <f>BINOMDIST($A9,90,'estadísticos descriptivos'!D$6/90,0)*'estadísticos descriptivos'!D$2</f>
        <v>0.5309308744395016</v>
      </c>
      <c r="Q9">
        <f>BINOMDIST($A9,90,'estadísticos descriptivos'!E$6/90,0)*'estadísticos descriptivos'!E$2</f>
        <v>1.3272084214748897E-2</v>
      </c>
      <c r="R9" s="3">
        <f t="shared" si="4"/>
        <v>0.83594058848822528</v>
      </c>
      <c r="S9">
        <f t="shared" si="5"/>
        <v>2.5102529364860256E-3</v>
      </c>
      <c r="T9">
        <f t="shared" si="6"/>
        <v>0.5309308744395016</v>
      </c>
      <c r="U9">
        <f t="shared" si="7"/>
        <v>1.3272084214748897E-2</v>
      </c>
      <c r="V9" s="3">
        <f t="shared" si="13"/>
        <v>0.40877143783680003</v>
      </c>
      <c r="W9">
        <f t="shared" si="14"/>
        <v>3.3711503692240592E-4</v>
      </c>
      <c r="X9">
        <f t="shared" si="15"/>
        <v>2.5964016838020965E-3</v>
      </c>
      <c r="Y9" s="4">
        <f t="shared" si="16"/>
        <v>8.2073233377124113E-4</v>
      </c>
      <c r="Z9">
        <f t="shared" si="8"/>
        <v>0.85512631353935586</v>
      </c>
      <c r="AA9">
        <f t="shared" si="9"/>
        <v>3.3711503692240592E-4</v>
      </c>
      <c r="AB9">
        <f t="shared" si="10"/>
        <v>2.5964016838020965E-3</v>
      </c>
      <c r="AC9" s="4">
        <f t="shared" si="11"/>
        <v>8.2073233377124113E-4</v>
      </c>
    </row>
    <row r="10" spans="1:33">
      <c r="A10">
        <f t="shared" si="12"/>
        <v>6</v>
      </c>
      <c r="B10" s="3">
        <f>+COUNTIF(desglose!F:F,'pruebas de bondad de ajuste'!$A10)</f>
        <v>2</v>
      </c>
      <c r="C10">
        <f>+COUNTIF(desglose!G:G,'pruebas de bondad de ajuste'!$A10)</f>
        <v>0</v>
      </c>
      <c r="D10">
        <f>+COUNTIF(desglose!Q:Q,'pruebas de bondad de ajuste'!$A10)/'estadísticos descriptivos'!D$2</f>
        <v>0</v>
      </c>
      <c r="E10" s="4">
        <f>+COUNTIF(desglose!R:R,'pruebas de bondad de ajuste'!$A10)/'estadísticos descriptivos'!E$2</f>
        <v>0</v>
      </c>
      <c r="F10" s="3">
        <f>+_xlfn.POISSON.DIST($A10,'estadísticos descriptivos'!B$6,0)*'estadísticos descriptivos'!B$2</f>
        <v>1.0335190743888096</v>
      </c>
      <c r="G10">
        <f>+_xlfn.POISSON.DIST($A10,'estadísticos descriptivos'!C$6,0)*'estadísticos descriptivos'!C$2</f>
        <v>1.962224209407369E-4</v>
      </c>
      <c r="H10">
        <f>+_xlfn.POISSON.DIST($A10,'estadísticos descriptivos'!D$6,0)*'estadísticos descriptivos'!D$2</f>
        <v>0.17172932343725633</v>
      </c>
      <c r="I10">
        <f>+_xlfn.POISSON.DIST($A10,'estadísticos descriptivos'!E$6,0)*'estadísticos descriptivos'!E$2</f>
        <v>1.7230900161657495E-3</v>
      </c>
      <c r="J10">
        <f t="shared" si="0"/>
        <v>0.90379113721016879</v>
      </c>
      <c r="K10">
        <f t="shared" si="1"/>
        <v>1.9622242094073688E-4</v>
      </c>
      <c r="L10">
        <f t="shared" si="2"/>
        <v>0.17172932343725633</v>
      </c>
      <c r="M10" s="4">
        <f t="shared" si="3"/>
        <v>1.7230900161657495E-3</v>
      </c>
      <c r="N10">
        <f>BINOMDIST($A10,90,'estadísticos descriptivos'!B$6/90,0)*'estadísticos descriptivos'!B$2</f>
        <v>0.99815330869127949</v>
      </c>
      <c r="O10">
        <f>BINOMDIST($A10,90,'estadísticos descriptivos'!C$6/90,0)*'estadísticos descriptivos'!C$2</f>
        <v>1.7015271100583154E-4</v>
      </c>
      <c r="P10">
        <f>BINOMDIST($A10,90,'estadísticos descriptivos'!D$6/90,0)*'estadísticos descriptivos'!D$2</f>
        <v>0.16124319326714567</v>
      </c>
      <c r="Q10">
        <f>BINOMDIST($A10,90,'estadísticos descriptivos'!E$6/90,0)*'estadísticos descriptivos'!E$2</f>
        <v>1.5210177408522666E-3</v>
      </c>
      <c r="R10" s="3">
        <f t="shared" si="4"/>
        <v>1.0055537402387811</v>
      </c>
      <c r="S10">
        <f t="shared" si="5"/>
        <v>1.7015271100583154E-4</v>
      </c>
      <c r="T10">
        <f t="shared" si="6"/>
        <v>0.16124319326714567</v>
      </c>
      <c r="U10">
        <f t="shared" si="7"/>
        <v>1.5210177408522666E-3</v>
      </c>
      <c r="V10" s="3">
        <f t="shared" si="13"/>
        <v>0.14902480328406736</v>
      </c>
      <c r="W10">
        <f t="shared" si="14"/>
        <v>2.0639696138106449E-5</v>
      </c>
      <c r="X10">
        <f t="shared" si="15"/>
        <v>-8.7794713765943996E-4</v>
      </c>
      <c r="Y10" s="4">
        <f t="shared" si="16"/>
        <v>4.9149194590918506E-5</v>
      </c>
      <c r="Z10">
        <f t="shared" si="8"/>
        <v>22.990194272069072</v>
      </c>
      <c r="AA10">
        <f t="shared" si="9"/>
        <v>2.0639696138106449E-5</v>
      </c>
      <c r="AB10">
        <f t="shared" si="10"/>
        <v>-8.7794713765944007E-4</v>
      </c>
      <c r="AC10" s="4">
        <f t="shared" si="11"/>
        <v>4.9149194590918506E-5</v>
      </c>
    </row>
    <row r="11" spans="1:33">
      <c r="A11">
        <f t="shared" si="12"/>
        <v>7</v>
      </c>
      <c r="B11" s="3">
        <f>+COUNTIF(desglose!F:F,'pruebas de bondad de ajuste'!$A11)</f>
        <v>1</v>
      </c>
      <c r="C11">
        <f>+COUNTIF(desglose!G:G,'pruebas de bondad de ajuste'!$A11)</f>
        <v>0</v>
      </c>
      <c r="D11">
        <f>+COUNTIF(desglose!Q:Q,'pruebas de bondad de ajuste'!$A11)/'estadísticos descriptivos'!D$2</f>
        <v>0</v>
      </c>
      <c r="E11" s="4">
        <f>+COUNTIF(desglose!R:R,'pruebas de bondad de ajuste'!$A11)/'estadísticos descriptivos'!E$2</f>
        <v>0</v>
      </c>
      <c r="F11" s="3">
        <f>+_xlfn.POISSON.DIST($A11,'estadísticos descriptivos'!B$6,0)*'estadísticos descriptivos'!B$2</f>
        <v>0.37544162294124045</v>
      </c>
      <c r="G11">
        <f>+_xlfn.POISSON.DIST($A11,'estadísticos descriptivos'!C$6,0)*'estadísticos descriptivos'!C$2</f>
        <v>1.2013617608616567E-5</v>
      </c>
      <c r="H11">
        <f>+_xlfn.POISSON.DIST($A11,'estadísticos descriptivos'!D$6,0)*'estadísticos descriptivos'!D$2</f>
        <v>4.6339658705291401E-2</v>
      </c>
      <c r="I11">
        <f>+_xlfn.POISSON.DIST($A11,'estadísticos descriptivos'!E$6,0)*'estadísticos descriptivos'!E$2</f>
        <v>1.7777912865202209E-4</v>
      </c>
      <c r="J11">
        <f t="shared" si="0"/>
        <v>1.0389715538154944</v>
      </c>
      <c r="K11">
        <f t="shared" si="1"/>
        <v>1.2013617608616569E-5</v>
      </c>
      <c r="L11">
        <f t="shared" si="2"/>
        <v>4.6339658705291401E-2</v>
      </c>
      <c r="M11" s="4">
        <f t="shared" si="3"/>
        <v>1.7777912865202209E-4</v>
      </c>
      <c r="N11">
        <f>BINOMDIST($A11,90,'estadísticos descriptivos'!B$6/90,0)*'estadísticos descriptivos'!B$2</f>
        <v>0.34826126549568254</v>
      </c>
      <c r="O11">
        <f>BINOMDIST($A11,90,'estadísticos descriptivos'!C$6/90,0)*'estadísticos descriptivos'!C$2</f>
        <v>9.7695336462678027E-6</v>
      </c>
      <c r="P11">
        <f>BINOMDIST($A11,90,'estadísticos descriptivos'!D$6/90,0)*'estadísticos descriptivos'!D$2</f>
        <v>4.1479963967840684E-2</v>
      </c>
      <c r="Q11">
        <f>BINOMDIST($A11,90,'estadísticos descriptivos'!E$6/90,0)*'estadísticos descriptivos'!E$2</f>
        <v>1.4765324677843989E-4</v>
      </c>
      <c r="R11" s="3">
        <f t="shared" si="4"/>
        <v>1.219668737632136</v>
      </c>
      <c r="S11">
        <f t="shared" si="5"/>
        <v>9.7695336462678027E-6</v>
      </c>
      <c r="T11">
        <f t="shared" si="6"/>
        <v>4.1479963967840684E-2</v>
      </c>
      <c r="U11">
        <f t="shared" si="7"/>
        <v>1.4765324677843989E-4</v>
      </c>
      <c r="V11" s="3">
        <f t="shared" si="13"/>
        <v>4.7587525292026187E-2</v>
      </c>
      <c r="W11">
        <f t="shared" si="14"/>
        <v>1.1056980073985575E-6</v>
      </c>
      <c r="X11">
        <f t="shared" si="15"/>
        <v>3.733679728622113E-4</v>
      </c>
      <c r="Y11" s="4">
        <f t="shared" si="16"/>
        <v>2.2226227351887339E-6</v>
      </c>
      <c r="Z11">
        <f t="shared" si="8"/>
        <v>19.061498079862535</v>
      </c>
      <c r="AA11">
        <f t="shared" si="9"/>
        <v>1.1056980073985575E-6</v>
      </c>
      <c r="AB11">
        <f t="shared" si="10"/>
        <v>3.733679728622113E-4</v>
      </c>
      <c r="AC11" s="4">
        <f t="shared" si="11"/>
        <v>2.2226227351887339E-6</v>
      </c>
    </row>
    <row r="12" spans="1:33">
      <c r="A12">
        <f t="shared" si="12"/>
        <v>8</v>
      </c>
      <c r="B12" s="3">
        <f>+COUNTIF(desglose!F:F,'pruebas de bondad de ajuste'!$A12)</f>
        <v>0</v>
      </c>
      <c r="C12">
        <f>+COUNTIF(desglose!G:G,'pruebas de bondad de ajuste'!$A12)</f>
        <v>0</v>
      </c>
      <c r="D12">
        <f>+COUNTIF(desglose!Q:Q,'pruebas de bondad de ajuste'!$A12)/'estadísticos descriptivos'!D$2</f>
        <v>0</v>
      </c>
      <c r="E12" s="4">
        <f>+COUNTIF(desglose!R:R,'pruebas de bondad de ajuste'!$A12)/'estadísticos descriptivos'!E$2</f>
        <v>0</v>
      </c>
      <c r="F12" s="3">
        <f>+_xlfn.POISSON.DIST($A12,'estadísticos descriptivos'!B$6,0)*'estadísticos descriptivos'!B$2</f>
        <v>0.11933680157775158</v>
      </c>
      <c r="G12">
        <f>+_xlfn.POISSON.DIST($A12,'estadísticos descriptivos'!C$6,0)*'estadísticos descriptivos'!C$2</f>
        <v>6.4358665760445653E-7</v>
      </c>
      <c r="H12">
        <f>+_xlfn.POISSON.DIST($A12,'estadísticos descriptivos'!D$6,0)*'estadísticos descriptivos'!D$2</f>
        <v>1.0941308305416038E-2</v>
      </c>
      <c r="I12">
        <f>+_xlfn.POISSON.DIST($A12,'estadísticos descriptivos'!E$6,0)*'estadísticos descriptivos'!E$2</f>
        <v>1.6049504669974151E-5</v>
      </c>
      <c r="J12">
        <f t="shared" si="0"/>
        <v>0.11933680157775158</v>
      </c>
      <c r="K12">
        <f t="shared" si="1"/>
        <v>6.4358665760445653E-7</v>
      </c>
      <c r="L12">
        <f t="shared" si="2"/>
        <v>1.0941308305416038E-2</v>
      </c>
      <c r="M12" s="4">
        <f t="shared" si="3"/>
        <v>1.6049504669974151E-5</v>
      </c>
      <c r="N12">
        <f>BINOMDIST($A12,90,'estadísticos descriptivos'!B$6/90,0)*'estadísticos descriptivos'!B$2</f>
        <v>0.10505578112612739</v>
      </c>
      <c r="O12">
        <f>BINOMDIST($A12,90,'estadísticos descriptivos'!C$6/90,0)*'estadísticos descriptivos'!C$2</f>
        <v>4.8497086880396345E-7</v>
      </c>
      <c r="P12">
        <f>BINOMDIST($A12,90,'estadísticos descriptivos'!D$6/90,0)*'estadísticos descriptivos'!D$2</f>
        <v>9.2257612166808493E-3</v>
      </c>
      <c r="Q12">
        <f>BINOMDIST($A12,90,'estadísticos descriptivos'!E$6/90,0)*'estadísticos descriptivos'!E$2</f>
        <v>1.2392490142652242E-5</v>
      </c>
      <c r="R12" s="3">
        <f t="shared" si="4"/>
        <v>0.10505578112612739</v>
      </c>
      <c r="S12">
        <f t="shared" si="5"/>
        <v>4.8497086880396345E-7</v>
      </c>
      <c r="T12">
        <f t="shared" si="6"/>
        <v>9.2257612166808493E-3</v>
      </c>
      <c r="U12">
        <f t="shared" si="7"/>
        <v>1.239249014265224E-5</v>
      </c>
      <c r="V12" s="3">
        <f t="shared" si="13"/>
        <v>1.3521447764647098E-2</v>
      </c>
      <c r="W12">
        <f t="shared" si="14"/>
        <v>5.2652286066597859E-8</v>
      </c>
      <c r="X12">
        <f t="shared" si="15"/>
        <v>-1.8408709564437506E-4</v>
      </c>
      <c r="Y12" s="4">
        <f t="shared" si="16"/>
        <v>7.5164009445067708E-8</v>
      </c>
      <c r="Z12">
        <f t="shared" si="8"/>
        <v>1.3521447764647098E-2</v>
      </c>
      <c r="AA12">
        <f t="shared" si="9"/>
        <v>5.2652286066597859E-8</v>
      </c>
      <c r="AB12">
        <f t="shared" si="10"/>
        <v>-1.8408709564437503E-4</v>
      </c>
      <c r="AC12" s="4">
        <f t="shared" si="11"/>
        <v>7.5164009445067708E-8</v>
      </c>
    </row>
    <row r="13" spans="1:33">
      <c r="A13">
        <f t="shared" si="12"/>
        <v>9</v>
      </c>
      <c r="B13" s="3">
        <f>+COUNTIF(desglose!F:F,'pruebas de bondad de ajuste'!$A13)</f>
        <v>0</v>
      </c>
      <c r="C13">
        <f>+COUNTIF(desglose!G:G,'pruebas de bondad de ajuste'!$A13)</f>
        <v>0</v>
      </c>
      <c r="D13">
        <f>+COUNTIF(desglose!Q:Q,'pruebas de bondad de ajuste'!$A13)/'estadísticos descriptivos'!D$2</f>
        <v>0</v>
      </c>
      <c r="E13" s="4">
        <f>+COUNTIF(desglose!R:R,'pruebas de bondad de ajuste'!$A13)/'estadísticos descriptivos'!E$2</f>
        <v>0</v>
      </c>
      <c r="F13" s="3">
        <f>+_xlfn.POISSON.DIST($A13,'estadísticos descriptivos'!B$6,0)*'estadísticos descriptivos'!B$2</f>
        <v>3.3717382033078953E-2</v>
      </c>
      <c r="G13">
        <f>+_xlfn.POISSON.DIST($A13,'estadísticos descriptivos'!C$6,0)*'estadísticos descriptivos'!C$2</f>
        <v>3.0646983695450354E-8</v>
      </c>
      <c r="H13">
        <f>+_xlfn.POISSON.DIST($A13,'estadísticos descriptivos'!D$6,0)*'estadísticos descriptivos'!D$2</f>
        <v>2.2963239653342256E-3</v>
      </c>
      <c r="I13">
        <f>+_xlfn.POISSON.DIST($A13,'estadísticos descriptivos'!E$6,0)*'estadísticos descriptivos'!E$2</f>
        <v>1.287923214257186E-6</v>
      </c>
      <c r="J13">
        <f t="shared" si="0"/>
        <v>3.3717382033078953E-2</v>
      </c>
      <c r="K13">
        <f t="shared" si="1"/>
        <v>3.0646983695450354E-8</v>
      </c>
      <c r="L13">
        <f t="shared" si="2"/>
        <v>2.2963239653342256E-3</v>
      </c>
      <c r="M13" s="4">
        <f t="shared" si="3"/>
        <v>1.287923214257186E-6</v>
      </c>
      <c r="N13">
        <f>BINOMDIST($A13,90,'estadísticos descriptivos'!B$6/90,0)*'estadísticos descriptivos'!B$2</f>
        <v>2.7830305661130275E-2</v>
      </c>
      <c r="O13">
        <f>BINOMDIST($A13,90,'estadísticos descriptivos'!C$6/90,0)*'estadísticos descriptivos'!C$2</f>
        <v>2.1141739097248794E-8</v>
      </c>
      <c r="P13">
        <f>BINOMDIST($A13,90,'estadísticos descriptivos'!D$6/90,0)*'estadísticos descriptivos'!D$2</f>
        <v>1.80197718033531E-3</v>
      </c>
      <c r="Q13">
        <f>BINOMDIST($A13,90,'estadísticos descriptivos'!E$6/90,0)*'estadísticos descriptivos'!E$2</f>
        <v>9.1339241457977311E-7</v>
      </c>
      <c r="R13" s="3">
        <f t="shared" si="4"/>
        <v>2.7830305661130272E-2</v>
      </c>
      <c r="S13">
        <f t="shared" si="5"/>
        <v>2.1141739097248794E-8</v>
      </c>
      <c r="T13">
        <f t="shared" si="6"/>
        <v>1.80197718033531E-3</v>
      </c>
      <c r="U13">
        <f t="shared" si="7"/>
        <v>9.1339241457977311E-7</v>
      </c>
      <c r="V13" s="3">
        <f t="shared" si="13"/>
        <v>3.4613327353376767E-3</v>
      </c>
      <c r="W13">
        <f t="shared" si="14"/>
        <v>2.2565265457113312E-9</v>
      </c>
      <c r="X13">
        <f t="shared" si="15"/>
        <v>1.007437517164914E-4</v>
      </c>
      <c r="Y13" s="4">
        <f t="shared" si="16"/>
        <v>1.8561234655626791E-9</v>
      </c>
      <c r="Z13">
        <f t="shared" si="8"/>
        <v>3.4613327353376767E-3</v>
      </c>
      <c r="AA13">
        <f t="shared" si="9"/>
        <v>2.2565265457113312E-9</v>
      </c>
      <c r="AB13">
        <f t="shared" si="10"/>
        <v>1.0074375171649142E-4</v>
      </c>
      <c r="AC13" s="4">
        <f t="shared" si="11"/>
        <v>1.8561234655626791E-9</v>
      </c>
    </row>
    <row r="14" spans="1:33">
      <c r="A14">
        <f t="shared" si="12"/>
        <v>10</v>
      </c>
      <c r="B14" s="3">
        <f>+COUNTIF(desglose!F:F,'pruebas de bondad de ajuste'!$A14)</f>
        <v>0</v>
      </c>
      <c r="C14">
        <f>+COUNTIF(desglose!G:G,'pruebas de bondad de ajuste'!$A14)</f>
        <v>0</v>
      </c>
      <c r="D14">
        <f>+COUNTIF(desglose!Q:Q,'pruebas de bondad de ajuste'!$A14)/'estadísticos descriptivos'!D$2</f>
        <v>0</v>
      </c>
      <c r="E14" s="4">
        <f>+COUNTIF(desglose!R:R,'pruebas de bondad de ajuste'!$A14)/'estadísticos descriptivos'!E$2</f>
        <v>0</v>
      </c>
      <c r="F14" s="3">
        <f>+_xlfn.POISSON.DIST($A14,'estadísticos descriptivos'!B$6,0)*'estadísticos descriptivos'!B$2</f>
        <v>8.5738485741258114E-3</v>
      </c>
      <c r="G14">
        <f>+_xlfn.POISSON.DIST($A14,'estadísticos descriptivos'!C$6,0)*'estadísticos descriptivos'!C$2</f>
        <v>1.3134421583764426E-9</v>
      </c>
      <c r="H14">
        <f>+_xlfn.POISSON.DIST($A14,'estadísticos descriptivos'!D$6,0)*'estadísticos descriptivos'!D$2</f>
        <v>4.3375008234090943E-4</v>
      </c>
      <c r="I14">
        <f>+_xlfn.POISSON.DIST($A14,'estadísticos descriptivos'!E$6,0)*'estadísticos descriptivos'!E$2</f>
        <v>9.3016676585241144E-8</v>
      </c>
      <c r="J14">
        <f t="shared" si="0"/>
        <v>8.5738485741258114E-3</v>
      </c>
      <c r="K14">
        <f t="shared" si="1"/>
        <v>1.3134421583764426E-9</v>
      </c>
      <c r="L14">
        <f t="shared" si="2"/>
        <v>4.3375008234090943E-4</v>
      </c>
      <c r="M14" s="4">
        <f t="shared" si="3"/>
        <v>9.3016676585241144E-8</v>
      </c>
      <c r="N14">
        <f>BINOMDIST($A14,90,'estadísticos descriptivos'!B$6/90,0)*'estadísticos descriptivos'!B$2</f>
        <v>6.5543506537435008E-3</v>
      </c>
      <c r="O14">
        <f>BINOMDIST($A14,90,'estadísticos descriptivos'!C$6/90,0)*'estadísticos descriptivos'!C$2</f>
        <v>8.1936883582638953E-10</v>
      </c>
      <c r="P14">
        <f>BINOMDIST($A14,90,'estadísticos descriptivos'!D$6/90,0)*'estadísticos descriptivos'!D$2</f>
        <v>3.1290322538735441E-4</v>
      </c>
      <c r="Q14">
        <f>BINOMDIST($A14,90,'estadísticos descriptivos'!E$6/90,0)*'estadísticos descriptivos'!E$2</f>
        <v>5.9850791073584208E-8</v>
      </c>
      <c r="R14" s="3">
        <f t="shared" si="4"/>
        <v>6.5543506537435008E-3</v>
      </c>
      <c r="S14">
        <f t="shared" si="5"/>
        <v>8.1936883582638953E-10</v>
      </c>
      <c r="T14">
        <f t="shared" si="6"/>
        <v>3.1290322538735441E-4</v>
      </c>
      <c r="U14">
        <f t="shared" si="7"/>
        <v>5.9850791073584208E-8</v>
      </c>
      <c r="V14" s="3">
        <f t="shared" si="13"/>
        <v>8.0633949091566271E-4</v>
      </c>
      <c r="W14">
        <f t="shared" si="14"/>
        <v>8.7916618664077583E-11</v>
      </c>
      <c r="X14">
        <f t="shared" si="15"/>
        <v>-5.9602061674922435E-5</v>
      </c>
      <c r="Y14" s="4">
        <f t="shared" si="16"/>
        <v>3.1980475350301889E-11</v>
      </c>
      <c r="Z14">
        <f t="shared" si="8"/>
        <v>8.0633949091566271E-4</v>
      </c>
      <c r="AA14">
        <f t="shared" si="9"/>
        <v>8.7916618664077583E-11</v>
      </c>
      <c r="AB14">
        <f t="shared" si="10"/>
        <v>-5.9602061674922435E-5</v>
      </c>
      <c r="AC14" s="4">
        <f t="shared" si="11"/>
        <v>3.1980475350301889E-11</v>
      </c>
    </row>
    <row r="15" spans="1:33">
      <c r="A15">
        <f t="shared" si="12"/>
        <v>11</v>
      </c>
      <c r="B15" s="3">
        <f>+COUNTIF(desglose!F:F,'pruebas de bondad de ajuste'!$A15)</f>
        <v>0</v>
      </c>
      <c r="C15">
        <f>+COUNTIF(desglose!G:G,'pruebas de bondad de ajuste'!$A15)</f>
        <v>0</v>
      </c>
      <c r="D15">
        <f>+COUNTIF(desglose!Q:Q,'pruebas de bondad de ajuste'!$A15)/'estadísticos descriptivos'!D$2</f>
        <v>0</v>
      </c>
      <c r="E15" s="4">
        <f>+COUNTIF(desglose!R:R,'pruebas de bondad de ajuste'!$A15)/'estadísticos descriptivos'!E$2</f>
        <v>0</v>
      </c>
      <c r="F15" s="3">
        <f>+_xlfn.POISSON.DIST($A15,'estadísticos descriptivos'!B$6,0)*'estadísticos descriptivos'!B$2</f>
        <v>1.9820065534992162E-3</v>
      </c>
      <c r="G15">
        <f>+_xlfn.POISSON.DIST($A15,'estadísticos descriptivos'!C$6,0)*'estadísticos descriptivos'!C$2</f>
        <v>5.1173071105575554E-11</v>
      </c>
      <c r="H15">
        <f>+_xlfn.POISSON.DIST($A15,'estadísticos descriptivos'!D$6,0)*'estadísticos descriptivos'!D$2</f>
        <v>7.4482337371671367E-5</v>
      </c>
      <c r="I15">
        <f>+_xlfn.POISSON.DIST($A15,'estadísticos descriptivos'!E$6,0)*'estadísticos descriptivos'!E$2</f>
        <v>6.107155533374408E-9</v>
      </c>
      <c r="J15">
        <f t="shared" si="0"/>
        <v>1.9820065534992162E-3</v>
      </c>
      <c r="K15">
        <f t="shared" si="1"/>
        <v>5.1173071105575554E-11</v>
      </c>
      <c r="L15">
        <f t="shared" si="2"/>
        <v>7.4482337371671367E-5</v>
      </c>
      <c r="M15" s="4">
        <f t="shared" si="3"/>
        <v>6.107155533374408E-9</v>
      </c>
      <c r="N15">
        <f>BINOMDIST($A15,90,'estadísticos descriptivos'!B$6/90,0)*'estadísticos descriptivos'!B$2</f>
        <v>1.3859694293205953E-3</v>
      </c>
      <c r="O15">
        <f>BINOMDIST($A15,90,'estadísticos descriptivos'!C$6/90,0)*'estadísticos descriptivos'!C$2</f>
        <v>2.8512182194915805E-11</v>
      </c>
      <c r="P15">
        <f>BINOMDIST($A15,90,'estadísticos descriptivos'!D$6/90,0)*'estadísticos descriptivos'!D$2</f>
        <v>4.8784636767947079E-5</v>
      </c>
      <c r="Q15">
        <f>BINOMDIST($A15,90,'estadísticos descriptivos'!E$6/90,0)*'estadísticos descriptivos'!E$2</f>
        <v>3.521232263196692E-9</v>
      </c>
      <c r="R15" s="3">
        <f t="shared" si="4"/>
        <v>1.3859694293205953E-3</v>
      </c>
      <c r="S15">
        <f t="shared" si="5"/>
        <v>2.8512182194915805E-11</v>
      </c>
      <c r="T15">
        <f t="shared" si="6"/>
        <v>4.8784636767947072E-5</v>
      </c>
      <c r="U15">
        <f t="shared" si="7"/>
        <v>3.521232263196692E-9</v>
      </c>
      <c r="V15" s="3">
        <f t="shared" si="13"/>
        <v>1.7236560197796482E-4</v>
      </c>
      <c r="W15">
        <f t="shared" si="14"/>
        <v>3.1398792380027603E-12</v>
      </c>
      <c r="X15">
        <f t="shared" si="15"/>
        <v>3.7465041376255396E-5</v>
      </c>
      <c r="Y15" s="4">
        <f t="shared" si="16"/>
        <v>3.5207992754519068E-13</v>
      </c>
      <c r="Z15">
        <f t="shared" si="8"/>
        <v>1.7236560197796482E-4</v>
      </c>
      <c r="AA15">
        <f t="shared" si="9"/>
        <v>3.1398792380027603E-12</v>
      </c>
      <c r="AB15">
        <f t="shared" si="10"/>
        <v>3.7465041376255396E-5</v>
      </c>
      <c r="AC15" s="4">
        <f t="shared" si="11"/>
        <v>3.5207992754519068E-13</v>
      </c>
    </row>
    <row r="16" spans="1:33">
      <c r="A16">
        <f t="shared" si="12"/>
        <v>12</v>
      </c>
      <c r="B16" s="3">
        <f>+COUNTIF(desglose!F:F,'pruebas de bondad de ajuste'!$A16)</f>
        <v>0</v>
      </c>
      <c r="C16">
        <f>+COUNTIF(desglose!G:G,'pruebas de bondad de ajuste'!$A16)</f>
        <v>0</v>
      </c>
      <c r="D16">
        <f>+COUNTIF(desglose!Q:Q,'pruebas de bondad de ajuste'!$A16)/'estadísticos descriptivos'!D$2</f>
        <v>0</v>
      </c>
      <c r="E16" s="4">
        <f>+COUNTIF(desglose!R:R,'pruebas de bondad de ajuste'!$A16)/'estadísticos descriptivos'!E$2</f>
        <v>0</v>
      </c>
      <c r="F16" s="3">
        <f>+_xlfn.POISSON.DIST($A16,'estadísticos descriptivos'!B$6,0)*'estadísticos descriptivos'!B$2</f>
        <v>4.1999662681292834E-4</v>
      </c>
      <c r="G16">
        <f>+_xlfn.POISSON.DIST($A16,'estadísticos descriptivos'!C$6,0)*'estadísticos descriptivos'!C$2</f>
        <v>1.8276096823419933E-12</v>
      </c>
      <c r="H16">
        <f>+_xlfn.POISSON.DIST($A16,'estadísticos descriptivos'!D$6,0)*'estadísticos descriptivos'!D$2</f>
        <v>1.1724071623318626E-5</v>
      </c>
      <c r="I16">
        <f>+_xlfn.POISSON.DIST($A16,'estadísticos descriptivos'!E$6,0)*'estadísticos descriptivos'!E$2</f>
        <v>3.6756028673086912E-10</v>
      </c>
      <c r="J16">
        <f t="shared" si="0"/>
        <v>4.1999662681292834E-4</v>
      </c>
      <c r="K16">
        <f t="shared" si="1"/>
        <v>1.8276096823419933E-12</v>
      </c>
      <c r="L16">
        <f t="shared" si="2"/>
        <v>1.1724071623318626E-5</v>
      </c>
      <c r="M16" s="4">
        <f t="shared" si="3"/>
        <v>3.6756028673086912E-10</v>
      </c>
      <c r="N16">
        <f>BINOMDIST($A16,90,'estadísticos descriptivos'!B$6/90,0)*'estadísticos descriptivos'!B$2</f>
        <v>2.6529323362607741E-4</v>
      </c>
      <c r="O16">
        <f>BINOMDIST($A16,90,'estadísticos descriptivos'!C$6/90,0)*'estadísticos descriptivos'!C$2</f>
        <v>8.9811100215245165E-13</v>
      </c>
      <c r="P16">
        <f>BINOMDIST($A16,90,'estadísticos descriptivos'!D$6/90,0)*'estadísticos descriptivos'!D$2</f>
        <v>6.8850112630677398E-6</v>
      </c>
      <c r="Q16">
        <f>BINOMDIST($A16,90,'estadísticos descriptivos'!E$6/90,0)*'estadísticos descriptivos'!E$2</f>
        <v>1.875288080430925E-10</v>
      </c>
      <c r="R16" s="3">
        <f t="shared" si="4"/>
        <v>2.6529323362607741E-4</v>
      </c>
      <c r="S16">
        <f t="shared" si="5"/>
        <v>8.9811100215245165E-13</v>
      </c>
      <c r="T16">
        <f t="shared" si="6"/>
        <v>6.8850112630677398E-6</v>
      </c>
      <c r="U16">
        <f t="shared" si="7"/>
        <v>1.875288080430925E-10</v>
      </c>
      <c r="V16" s="3">
        <f t="shared" si="13"/>
        <v>3.4046098903807818E-5</v>
      </c>
      <c r="W16">
        <f t="shared" si="14"/>
        <v>1.0351250235173899E-13</v>
      </c>
      <c r="X16">
        <f t="shared" si="15"/>
        <v>-2.4721876044774777E-5</v>
      </c>
      <c r="Y16" s="4">
        <f t="shared" si="16"/>
        <v>2.0229513687522832E-15</v>
      </c>
      <c r="Z16">
        <f t="shared" si="8"/>
        <v>3.4046098903807818E-5</v>
      </c>
      <c r="AA16">
        <f t="shared" si="9"/>
        <v>1.0351250235173899E-13</v>
      </c>
      <c r="AB16">
        <f t="shared" si="10"/>
        <v>-2.4721876044774777E-5</v>
      </c>
      <c r="AC16" s="4">
        <f t="shared" si="11"/>
        <v>2.0229513687522832E-15</v>
      </c>
    </row>
    <row r="17" spans="1:29">
      <c r="A17">
        <f t="shared" si="12"/>
        <v>13</v>
      </c>
      <c r="B17" s="3">
        <f>+COUNTIF(desglose!F:F,'pruebas de bondad de ajuste'!$A17)</f>
        <v>0</v>
      </c>
      <c r="C17">
        <f>+COUNTIF(desglose!G:G,'pruebas de bondad de ajuste'!$A17)</f>
        <v>0</v>
      </c>
      <c r="D17">
        <f>+COUNTIF(desglose!Q:Q,'pruebas de bondad de ajuste'!$A17)/'estadísticos descriptivos'!D$2</f>
        <v>0</v>
      </c>
      <c r="E17" s="4">
        <f>+COUNTIF(desglose!R:R,'pruebas de bondad de ajuste'!$A17)/'estadísticos descriptivos'!E$2</f>
        <v>0</v>
      </c>
      <c r="F17" s="3">
        <f>+_xlfn.POISSON.DIST($A17,'estadísticos descriptivos'!B$6,0)*'estadísticos descriptivos'!B$2</f>
        <v>8.2153186343627877E-5</v>
      </c>
      <c r="G17">
        <f>+_xlfn.POISSON.DIST($A17,'estadísticos descriptivos'!C$6,0)*'estadísticos descriptivos'!C$2</f>
        <v>6.0250868648637223E-14</v>
      </c>
      <c r="H17">
        <f>+_xlfn.POISSON.DIST($A17,'estadísticos descriptivos'!D$6,0)*'estadísticos descriptivos'!D$2</f>
        <v>1.7034975862941621E-6</v>
      </c>
      <c r="I17">
        <f>+_xlfn.POISSON.DIST($A17,'estadísticos descriptivos'!E$6,0)*'estadísticos descriptivos'!E$2</f>
        <v>2.0420015929492732E-11</v>
      </c>
      <c r="J17">
        <f t="shared" si="0"/>
        <v>8.2153186343627877E-5</v>
      </c>
      <c r="K17">
        <f t="shared" si="1"/>
        <v>6.0250868648637223E-14</v>
      </c>
      <c r="L17">
        <f t="shared" si="2"/>
        <v>1.7034975862941621E-6</v>
      </c>
      <c r="M17" s="4">
        <f t="shared" si="3"/>
        <v>2.0420015929492732E-11</v>
      </c>
      <c r="N17">
        <f>BINOMDIST($A17,90,'estadísticos descriptivos'!B$6/90,0)*'estadísticos descriptivos'!B$2</f>
        <v>4.6281145624412207E-5</v>
      </c>
      <c r="O17">
        <f>BINOMDIST($A17,90,'estadísticos descriptivos'!C$6/90,0)*'estadísticos descriptivos'!C$2</f>
        <v>2.5783090970883529E-14</v>
      </c>
      <c r="P17">
        <f>BINOMDIST($A17,90,'estadísticos descriptivos'!D$6/90,0)*'estadísticos descriptivos'!D$2</f>
        <v>8.8558782954970082E-7</v>
      </c>
      <c r="Q17">
        <f>BINOMDIST($A17,90,'estadísticos descriptivos'!E$6/90,0)*'estadísticos descriptivos'!E$2</f>
        <v>9.1022072354457045E-12</v>
      </c>
      <c r="R17" s="3">
        <f t="shared" si="4"/>
        <v>4.6281145624412207E-5</v>
      </c>
      <c r="S17">
        <f t="shared" si="5"/>
        <v>2.5783090970883533E-14</v>
      </c>
      <c r="T17">
        <f t="shared" si="6"/>
        <v>8.8558782954970082E-7</v>
      </c>
      <c r="U17">
        <f t="shared" si="7"/>
        <v>9.1022072354457045E-12</v>
      </c>
      <c r="V17" s="3">
        <f t="shared" si="13"/>
        <v>6.2509375917761687E-6</v>
      </c>
      <c r="W17">
        <f t="shared" si="14"/>
        <v>3.1687500719919977E-15</v>
      </c>
      <c r="X17">
        <f t="shared" si="15"/>
        <v>1.697590929388012E-5</v>
      </c>
      <c r="Y17" s="4">
        <f t="shared" si="16"/>
        <v>2.4966172812505136E-18</v>
      </c>
      <c r="Z17">
        <f t="shared" si="8"/>
        <v>6.2509375917761687E-6</v>
      </c>
      <c r="AA17">
        <f t="shared" si="9"/>
        <v>3.1687500719919977E-15</v>
      </c>
      <c r="AB17">
        <f t="shared" si="10"/>
        <v>1.697590929388012E-5</v>
      </c>
      <c r="AC17" s="4">
        <f t="shared" si="11"/>
        <v>2.4966172812505136E-18</v>
      </c>
    </row>
    <row r="18" spans="1:29">
      <c r="A18">
        <f t="shared" si="12"/>
        <v>14</v>
      </c>
      <c r="B18" s="3">
        <f>+COUNTIF(desglose!F:F,'pruebas de bondad de ajuste'!$A18)</f>
        <v>0</v>
      </c>
      <c r="C18">
        <f>+COUNTIF(desglose!G:G,'pruebas de bondad de ajuste'!$A18)</f>
        <v>0</v>
      </c>
      <c r="D18">
        <f>+COUNTIF(desglose!Q:Q,'pruebas de bondad de ajuste'!$A18)/'estadísticos descriptivos'!D$2</f>
        <v>0</v>
      </c>
      <c r="E18" s="4">
        <f>+COUNTIF(desglose!R:R,'pruebas de bondad de ajuste'!$A18)/'estadísticos descriptivos'!E$2</f>
        <v>0</v>
      </c>
      <c r="F18" s="3">
        <f>+_xlfn.POISSON.DIST($A18,'estadísticos descriptivos'!B$6,0)*'estadísticos descriptivos'!B$2</f>
        <v>1.4921701193026241E-5</v>
      </c>
      <c r="G18">
        <f>+_xlfn.POISSON.DIST($A18,'estadísticos descriptivos'!C$6,0)*'estadísticos descriptivos'!C$2</f>
        <v>1.8444143463868454E-15</v>
      </c>
      <c r="H18">
        <f>+_xlfn.POISSON.DIST($A18,'estadísticos descriptivos'!D$6,0)*'estadísticos descriptivos'!D$2</f>
        <v>2.2983697592857751E-7</v>
      </c>
      <c r="I18">
        <f>+_xlfn.POISSON.DIST($A18,'estadísticos descriptivos'!E$6,0)*'estadísticos descriptivos'!E$2</f>
        <v>1.0534135201722408E-12</v>
      </c>
      <c r="J18">
        <f t="shared" si="0"/>
        <v>1.4921701193026241E-5</v>
      </c>
      <c r="K18">
        <f t="shared" si="1"/>
        <v>1.8444143463868454E-15</v>
      </c>
      <c r="L18">
        <f t="shared" si="2"/>
        <v>2.2983697592857751E-7</v>
      </c>
      <c r="M18" s="4">
        <f t="shared" si="3"/>
        <v>1.0534135201722408E-12</v>
      </c>
      <c r="N18">
        <f>BINOMDIST($A18,90,'estadísticos descriptivos'!B$6/90,0)*'estadísticos descriptivos'!B$2</f>
        <v>7.4010521996568741E-6</v>
      </c>
      <c r="O18">
        <f>BINOMDIST($A18,90,'estadísticos descriptivos'!C$6/90,0)*'estadísticos descriptivos'!C$2</f>
        <v>6.785023939706261E-16</v>
      </c>
      <c r="P18">
        <f>BINOMDIST($A18,90,'estadísticos descriptivos'!D$6/90,0)*'estadísticos descriptivos'!D$2</f>
        <v>1.0441672391285863E-7</v>
      </c>
      <c r="Q18">
        <f>BINOMDIST($A18,90,'estadísticos descriptivos'!E$6/90,0)*'estadísticos descriptivos'!E$2</f>
        <v>4.0498308483781494E-13</v>
      </c>
      <c r="R18" s="3">
        <f t="shared" si="4"/>
        <v>7.4010521996568741E-6</v>
      </c>
      <c r="S18">
        <f t="shared" si="5"/>
        <v>6.785023939706261E-16</v>
      </c>
      <c r="T18">
        <f t="shared" si="6"/>
        <v>1.0441672391285863E-7</v>
      </c>
      <c r="U18">
        <f t="shared" si="7"/>
        <v>4.0498308483781494E-13</v>
      </c>
      <c r="V18" s="3">
        <f t="shared" si="13"/>
        <v>1.0722721423557581E-6</v>
      </c>
      <c r="W18">
        <f t="shared" si="14"/>
        <v>9.0535716342628141E-17</v>
      </c>
      <c r="X18">
        <f t="shared" si="15"/>
        <v>-1.2051390171122309E-5</v>
      </c>
      <c r="Y18" s="4">
        <f t="shared" si="16"/>
        <v>-6.6806523031866508E-21</v>
      </c>
      <c r="Z18">
        <f t="shared" si="8"/>
        <v>1.0722721423557581E-6</v>
      </c>
      <c r="AA18">
        <f t="shared" si="9"/>
        <v>9.0535716342628141E-17</v>
      </c>
      <c r="AB18">
        <f t="shared" si="10"/>
        <v>-1.2051390171122309E-5</v>
      </c>
      <c r="AC18" s="4">
        <f t="shared" si="11"/>
        <v>-6.6806523031866508E-21</v>
      </c>
    </row>
    <row r="19" spans="1:29">
      <c r="A19">
        <f t="shared" si="12"/>
        <v>15</v>
      </c>
      <c r="B19" s="3">
        <f>+COUNTIF(desglose!F:F,'pruebas de bondad de ajuste'!$A19)</f>
        <v>0</v>
      </c>
      <c r="C19">
        <f>+COUNTIF(desglose!G:G,'pruebas de bondad de ajuste'!$A19)</f>
        <v>0</v>
      </c>
      <c r="D19">
        <f>+COUNTIF(desglose!Q:Q,'pruebas de bondad de ajuste'!$A19)/'estadísticos descriptivos'!D$2</f>
        <v>0</v>
      </c>
      <c r="E19" s="4">
        <f>+COUNTIF(desglose!R:R,'pruebas de bondad de ajuste'!$A19)/'estadísticos descriptivos'!E$2</f>
        <v>0</v>
      </c>
      <c r="F19" s="3">
        <f>+_xlfn.POISSON.DIST($A19,'estadísticos descriptivos'!B$6,0)*'estadísticos descriptivos'!B$2</f>
        <v>2.5295836308177866E-6</v>
      </c>
      <c r="G19">
        <f>+_xlfn.POISSON.DIST($A19,'estadísticos descriptivos'!C$6,0)*'estadísticos descriptivos'!C$2</f>
        <v>5.2697552753909909E-17</v>
      </c>
      <c r="H19">
        <f>+_xlfn.POISSON.DIST($A19,'estadísticos descriptivos'!D$6,0)*'estadísticos descriptivos'!D$2</f>
        <v>2.8942434005820772E-8</v>
      </c>
      <c r="I19">
        <f>+_xlfn.POISSON.DIST($A19,'estadísticos descriptivos'!E$6,0)*'estadísticos descriptivos'!E$2</f>
        <v>5.0719910230515268E-14</v>
      </c>
      <c r="J19">
        <f t="shared" si="0"/>
        <v>2.5295836308177866E-6</v>
      </c>
      <c r="K19">
        <f t="shared" si="1"/>
        <v>5.2697552753909909E-17</v>
      </c>
      <c r="L19">
        <f t="shared" si="2"/>
        <v>2.8942434005820772E-8</v>
      </c>
      <c r="M19" s="4">
        <f t="shared" si="3"/>
        <v>5.0719910230515268E-14</v>
      </c>
      <c r="N19">
        <f>BINOMDIST($A19,90,'estadísticos descriptivos'!B$6/90,0)*'estadísticos descriptivos'!B$2</f>
        <v>1.0902911266139436E-6</v>
      </c>
      <c r="O19">
        <f>BINOMDIST($A19,90,'estadísticos descriptivos'!C$6/90,0)*'estadísticos descriptivos'!C$2</f>
        <v>1.6448542884136371E-17</v>
      </c>
      <c r="P19">
        <f>BINOMDIST($A19,90,'estadísticos descriptivos'!D$6/90,0)*'estadísticos descriptivos'!D$2</f>
        <v>1.1341438192132258E-8</v>
      </c>
      <c r="Q19">
        <f>BINOMDIST($A19,90,'estadísticos descriptivos'!E$6/90,0)*'estadísticos descriptivos'!E$2</f>
        <v>1.6599182236870351E-14</v>
      </c>
      <c r="R19" s="3">
        <f t="shared" si="4"/>
        <v>1.0902911266139436E-6</v>
      </c>
      <c r="S19">
        <f t="shared" si="5"/>
        <v>1.6448542884136371E-17</v>
      </c>
      <c r="T19">
        <f t="shared" si="6"/>
        <v>1.1341438192132258E-8</v>
      </c>
      <c r="U19">
        <f t="shared" si="7"/>
        <v>1.6599182236870351E-14</v>
      </c>
      <c r="V19" s="3">
        <f t="shared" si="13"/>
        <v>1.7261597298727092E-7</v>
      </c>
      <c r="W19">
        <f t="shared" si="14"/>
        <v>2.4250638306060999E-18</v>
      </c>
      <c r="X19">
        <f t="shared" si="15"/>
        <v>8.8004380885758229E-6</v>
      </c>
      <c r="Y19" s="4">
        <f t="shared" si="16"/>
        <v>4.0732977725768987E-23</v>
      </c>
      <c r="Z19">
        <f t="shared" si="8"/>
        <v>1.7261597298727092E-7</v>
      </c>
      <c r="AA19">
        <f t="shared" si="9"/>
        <v>2.4250638306060999E-18</v>
      </c>
      <c r="AB19">
        <f t="shared" si="10"/>
        <v>8.8004380885758229E-6</v>
      </c>
      <c r="AC19" s="4">
        <f t="shared" si="11"/>
        <v>4.0732977725768981E-23</v>
      </c>
    </row>
    <row r="20" spans="1:29">
      <c r="A20">
        <f t="shared" si="12"/>
        <v>16</v>
      </c>
      <c r="B20" s="3">
        <f>+COUNTIF(desglose!F:F,'pruebas de bondad de ajuste'!$A20)</f>
        <v>0</v>
      </c>
      <c r="C20">
        <f>+COUNTIF(desglose!G:G,'pruebas de bondad de ajuste'!$A20)</f>
        <v>0</v>
      </c>
      <c r="D20">
        <f>+COUNTIF(desglose!Q:Q,'pruebas de bondad de ajuste'!$A20)/'estadísticos descriptivos'!D$2</f>
        <v>0</v>
      </c>
      <c r="E20" s="4">
        <f>+COUNTIF(desglose!R:R,'pruebas de bondad de ajuste'!$A20)/'estadísticos descriptivos'!E$2</f>
        <v>0</v>
      </c>
      <c r="F20" s="3">
        <f>+_xlfn.POISSON.DIST($A20,'estadísticos descriptivos'!B$6,0)*'estadísticos descriptivos'!B$2</f>
        <v>4.0202311275497037E-7</v>
      </c>
      <c r="G20">
        <f>+_xlfn.POISSON.DIST($A20,'estadísticos descriptivos'!C$6,0)*'estadísticos descriptivos'!C$2</f>
        <v>1.4115415916225853E-18</v>
      </c>
      <c r="H20">
        <f>+_xlfn.POISSON.DIST($A20,'estadísticos descriptivos'!D$6,0)*'estadísticos descriptivos'!D$2</f>
        <v>3.4168151256871868E-9</v>
      </c>
      <c r="I20">
        <f>+_xlfn.POISSON.DIST($A20,'estadísticos descriptivos'!E$6,0)*'estadísticos descriptivos'!E$2</f>
        <v>2.2894403923496454E-15</v>
      </c>
      <c r="J20">
        <f t="shared" si="0"/>
        <v>4.0202311275497037E-7</v>
      </c>
      <c r="K20">
        <f t="shared" si="1"/>
        <v>1.4115415916225853E-18</v>
      </c>
      <c r="L20">
        <f t="shared" si="2"/>
        <v>3.4168151256871868E-9</v>
      </c>
      <c r="M20" s="4">
        <f t="shared" si="3"/>
        <v>2.2894403923496454E-15</v>
      </c>
      <c r="N20">
        <f>BINOMDIST($A20,90,'estadísticos descriptivos'!B$6/90,0)*'estadísticos descriptivos'!B$2</f>
        <v>1.4859713472206936E-7</v>
      </c>
      <c r="O20">
        <f>BINOMDIST($A20,90,'estadísticos descriptivos'!C$6/90,0)*'estadísticos descriptivos'!C$2</f>
        <v>3.6891169746118825E-19</v>
      </c>
      <c r="P20">
        <f>BINOMDIST($A20,90,'estadísticos descriptivos'!D$6/90,0)*'estadísticos descriptivos'!D$2</f>
        <v>1.1396858208518813E-9</v>
      </c>
      <c r="Q20">
        <f>BINOMDIST($A20,90,'estadísticos descriptivos'!E$6/90,0)*'estadísticos descriptivos'!E$2</f>
        <v>6.2944161018001721E-16</v>
      </c>
      <c r="R20" s="3">
        <f t="shared" si="4"/>
        <v>1.4859713472206936E-7</v>
      </c>
      <c r="S20">
        <f t="shared" si="5"/>
        <v>3.6891169746118825E-19</v>
      </c>
      <c r="T20">
        <f t="shared" si="6"/>
        <v>1.1396858208518813E-9</v>
      </c>
      <c r="U20">
        <f t="shared" si="7"/>
        <v>6.294416101800173E-16</v>
      </c>
      <c r="V20" s="3">
        <f t="shared" si="13"/>
        <v>2.6180164138684188E-8</v>
      </c>
      <c r="W20">
        <f t="shared" si="14"/>
        <v>6.1136062956456012E-20</v>
      </c>
      <c r="X20">
        <f t="shared" si="15"/>
        <v>-6.5843285063886624E-6</v>
      </c>
      <c r="Y20" s="4">
        <f t="shared" si="16"/>
        <v>-3.713188543972735E-25</v>
      </c>
      <c r="Z20">
        <f t="shared" si="8"/>
        <v>2.6180164138684188E-8</v>
      </c>
      <c r="AA20">
        <f t="shared" si="9"/>
        <v>6.1136062956456012E-20</v>
      </c>
      <c r="AB20">
        <f t="shared" si="10"/>
        <v>-6.5843285063886624E-6</v>
      </c>
      <c r="AC20" s="4">
        <f t="shared" si="11"/>
        <v>-3.713188543972735E-25</v>
      </c>
    </row>
    <row r="21" spans="1:29">
      <c r="A21">
        <f t="shared" si="12"/>
        <v>17</v>
      </c>
      <c r="B21" s="3">
        <f>+COUNTIF(desglose!F:F,'pruebas de bondad de ajuste'!$A21)</f>
        <v>0</v>
      </c>
      <c r="C21">
        <f>+COUNTIF(desglose!G:G,'pruebas de bondad de ajuste'!$A21)</f>
        <v>0</v>
      </c>
      <c r="D21">
        <f>+COUNTIF(desglose!Q:Q,'pruebas de bondad de ajuste'!$A21)/'estadísticos descriptivos'!D$2</f>
        <v>0</v>
      </c>
      <c r="E21" s="4">
        <f>+COUNTIF(desglose!R:R,'pruebas de bondad de ajuste'!$A21)/'estadísticos descriptivos'!E$2</f>
        <v>0</v>
      </c>
      <c r="F21" s="3">
        <f>+_xlfn.POISSON.DIST($A21,'estadísticos descriptivos'!B$6,0)*'estadísticos descriptivos'!B$2</f>
        <v>6.0134549638978594E-8</v>
      </c>
      <c r="G21">
        <f>+_xlfn.POISSON.DIST($A21,'estadísticos descriptivos'!C$6,0)*'estadísticos descriptivos'!C$2</f>
        <v>3.5585082141745852E-20</v>
      </c>
      <c r="H21">
        <f>+_xlfn.POISSON.DIST($A21,'estadísticos descriptivos'!D$6,0)*'estadísticos descriptivos'!D$2</f>
        <v>3.7964612507635222E-10</v>
      </c>
      <c r="I21">
        <f>+_xlfn.POISSON.DIST($A21,'estadísticos descriptivos'!E$6,0)*'estadísticos descriptivos'!E$2</f>
        <v>9.7263807518122262E-17</v>
      </c>
      <c r="J21">
        <f t="shared" si="0"/>
        <v>6.0134549638978594E-8</v>
      </c>
      <c r="K21">
        <f t="shared" si="1"/>
        <v>3.5585082141745852E-20</v>
      </c>
      <c r="L21">
        <f t="shared" si="2"/>
        <v>3.7964612507635227E-10</v>
      </c>
      <c r="M21" s="4">
        <f t="shared" si="3"/>
        <v>9.7263807518122262E-17</v>
      </c>
      <c r="N21">
        <f>BINOMDIST($A21,90,'estadísticos descriptivos'!B$6/90,0)*'estadísticos descriptivos'!B$2</f>
        <v>1.8807016724245185E-8</v>
      </c>
      <c r="O21">
        <f>BINOMDIST($A21,90,'estadísticos descriptivos'!C$6/90,0)*'estadísticos descriptivos'!C$2</f>
        <v>7.6834972170358141E-21</v>
      </c>
      <c r="P21">
        <f>BINOMDIST($A21,90,'estadísticos descriptivos'!D$6/90,0)*'estadísticos descriptivos'!D$2</f>
        <v>1.0635151417785468E-10</v>
      </c>
      <c r="Q21">
        <f>BINOMDIST($A21,90,'estadísticos descriptivos'!E$6/90,0)*'estadísticos descriptivos'!E$2</f>
        <v>2.2164897287352317E-17</v>
      </c>
      <c r="R21" s="3">
        <f t="shared" si="4"/>
        <v>1.8807016724245185E-8</v>
      </c>
      <c r="S21">
        <f t="shared" si="5"/>
        <v>7.6834972170358141E-21</v>
      </c>
      <c r="T21">
        <f t="shared" si="6"/>
        <v>1.0635151417785468E-10</v>
      </c>
      <c r="U21">
        <f t="shared" si="7"/>
        <v>2.2164897287352317E-17</v>
      </c>
      <c r="V21" s="3">
        <f t="shared" si="13"/>
        <v>3.7539119116393727E-9</v>
      </c>
      <c r="W21">
        <f t="shared" si="14"/>
        <v>1.4556205465822786E-21</v>
      </c>
      <c r="X21">
        <f t="shared" si="15"/>
        <v>5.0312696263823669E-6</v>
      </c>
      <c r="Y21" s="4">
        <f t="shared" si="16"/>
        <v>4.3812948884077706E-27</v>
      </c>
      <c r="Z21">
        <f t="shared" si="8"/>
        <v>3.7539119116393727E-9</v>
      </c>
      <c r="AA21">
        <f t="shared" si="9"/>
        <v>1.4556205465822786E-21</v>
      </c>
      <c r="AB21">
        <f t="shared" si="10"/>
        <v>5.0312696263823669E-6</v>
      </c>
      <c r="AC21" s="4">
        <f t="shared" si="11"/>
        <v>4.3812948884077706E-27</v>
      </c>
    </row>
    <row r="22" spans="1:29">
      <c r="A22">
        <f t="shared" si="12"/>
        <v>18</v>
      </c>
      <c r="B22" s="3">
        <f>+COUNTIF(desglose!F:F,'pruebas de bondad de ajuste'!$A22)</f>
        <v>0</v>
      </c>
      <c r="C22">
        <f>+COUNTIF(desglose!G:G,'pruebas de bondad de ajuste'!$A22)</f>
        <v>0</v>
      </c>
      <c r="D22">
        <f>+COUNTIF(desglose!Q:Q,'pruebas de bondad de ajuste'!$A22)/'estadísticos descriptivos'!D$2</f>
        <v>0</v>
      </c>
      <c r="E22" s="4">
        <f>+COUNTIF(desglose!R:R,'pruebas de bondad de ajuste'!$A22)/'estadísticos descriptivos'!E$2</f>
        <v>0</v>
      </c>
      <c r="F22" s="3">
        <f>+_xlfn.POISSON.DIST($A22,'estadísticos descriptivos'!B$6,0)*'estadísticos descriptivos'!B$2</f>
        <v>8.4951982823318982E-9</v>
      </c>
      <c r="G22">
        <f>+_xlfn.POISSON.DIST($A22,'estadísticos descriptivos'!C$6,0)*'estadísticos descriptivos'!C$2</f>
        <v>8.4726386051776159E-22</v>
      </c>
      <c r="H22">
        <f>+_xlfn.POISSON.DIST($A22,'estadísticos descriptivos'!D$6,0)*'estadísticos descriptivos'!D$2</f>
        <v>3.9839408187024776E-11</v>
      </c>
      <c r="I22">
        <f>+_xlfn.POISSON.DIST($A22,'estadísticos descriptivos'!E$6,0)*'estadísticos descriptivos'!E$2</f>
        <v>3.9025601781962735E-18</v>
      </c>
      <c r="J22">
        <f t="shared" si="0"/>
        <v>8.4951982823318982E-9</v>
      </c>
      <c r="K22">
        <f t="shared" si="1"/>
        <v>8.4726386051776159E-22</v>
      </c>
      <c r="L22">
        <f t="shared" si="2"/>
        <v>3.9839408187024776E-11</v>
      </c>
      <c r="M22" s="4">
        <f t="shared" si="3"/>
        <v>3.9025601781962735E-18</v>
      </c>
      <c r="N22">
        <f>BINOMDIST($A22,90,'estadísticos descriptivos'!B$6/90,0)*'estadísticos descriptivos'!B$2</f>
        <v>2.2176701088500706E-9</v>
      </c>
      <c r="O22">
        <f>BINOMDIST($A22,90,'estadísticos descriptivos'!C$6/90,0)*'estadísticos descriptivos'!C$2</f>
        <v>1.4909497523753731E-22</v>
      </c>
      <c r="P22">
        <f>BINOMDIST($A22,90,'estadísticos descriptivos'!D$6/90,0)*'estadísticos descriptivos'!D$2</f>
        <v>9.2463380338180156E-12</v>
      </c>
      <c r="Q22">
        <f>BINOMDIST($A22,90,'estadísticos descriptivos'!E$6/90,0)*'estadísticos descriptivos'!E$2</f>
        <v>7.2718272577257438E-19</v>
      </c>
      <c r="R22" s="3">
        <f t="shared" si="4"/>
        <v>2.2176701088500706E-9</v>
      </c>
      <c r="S22">
        <f t="shared" si="5"/>
        <v>1.4909497523753731E-22</v>
      </c>
      <c r="T22">
        <f t="shared" si="6"/>
        <v>9.2463380338180156E-12</v>
      </c>
      <c r="U22">
        <f t="shared" si="7"/>
        <v>7.2718272577257438E-19</v>
      </c>
      <c r="V22" s="3">
        <f t="shared" si="13"/>
        <v>5.1045581088808464E-10</v>
      </c>
      <c r="W22">
        <f t="shared" si="14"/>
        <v>3.2833546163509873E-23</v>
      </c>
      <c r="X22">
        <f t="shared" si="15"/>
        <v>-3.9163177336402755E-6</v>
      </c>
      <c r="Y22" s="4">
        <f t="shared" si="16"/>
        <v>-6.221514748221657E-29</v>
      </c>
      <c r="Z22">
        <f t="shared" si="8"/>
        <v>5.1045581088808464E-10</v>
      </c>
      <c r="AA22">
        <f t="shared" si="9"/>
        <v>3.2833546163509873E-23</v>
      </c>
      <c r="AB22">
        <f t="shared" si="10"/>
        <v>-3.9163177336402755E-6</v>
      </c>
      <c r="AC22" s="4">
        <f t="shared" si="11"/>
        <v>-6.221514748221657E-29</v>
      </c>
    </row>
    <row r="23" spans="1:29">
      <c r="A23">
        <f t="shared" si="12"/>
        <v>19</v>
      </c>
      <c r="B23" s="3">
        <f>+COUNTIF(desglose!F:F,'pruebas de bondad de ajuste'!$A23)</f>
        <v>0</v>
      </c>
      <c r="C23">
        <f>+COUNTIF(desglose!G:G,'pruebas de bondad de ajuste'!$A23)</f>
        <v>0</v>
      </c>
      <c r="D23">
        <f>+COUNTIF(desglose!Q:Q,'pruebas de bondad de ajuste'!$A23)/'estadísticos descriptivos'!D$2</f>
        <v>0</v>
      </c>
      <c r="E23" s="4">
        <f>+COUNTIF(desglose!R:R,'pruebas de bondad de ajuste'!$A23)/'estadísticos descriptivos'!E$2</f>
        <v>0</v>
      </c>
      <c r="F23" s="3">
        <f>+_xlfn.POISSON.DIST($A23,'estadísticos descriptivos'!B$6,0)*'estadísticos descriptivos'!B$2</f>
        <v>1.1369513490639617E-9</v>
      </c>
      <c r="G23">
        <f>+_xlfn.POISSON.DIST($A23,'estadísticos descriptivos'!C$6,0)*'estadísticos descriptivos'!C$2</f>
        <v>1.9111214898896871E-23</v>
      </c>
      <c r="H23">
        <f>+_xlfn.POISSON.DIST($A23,'estadísticos descriptivos'!D$6,0)*'estadísticos descriptivos'!D$2</f>
        <v>3.9606429191779196E-12</v>
      </c>
      <c r="I23">
        <f>+_xlfn.POISSON.DIST($A23,'estadísticos descriptivos'!E$6,0)*'estadísticos descriptivos'!E$2</f>
        <v>1.4834293075015061E-19</v>
      </c>
      <c r="J23">
        <f t="shared" si="0"/>
        <v>1.1369513490639617E-9</v>
      </c>
      <c r="K23">
        <f t="shared" si="1"/>
        <v>1.9111214898896871E-23</v>
      </c>
      <c r="L23">
        <f t="shared" si="2"/>
        <v>3.9606429191779196E-12</v>
      </c>
      <c r="M23" s="4">
        <f t="shared" si="3"/>
        <v>1.4834293075015061E-19</v>
      </c>
      <c r="N23">
        <f>BINOMDIST($A23,90,'estadísticos descriptivos'!B$6/90,0)*'estadísticos descriptivos'!B$2</f>
        <v>2.443444704604819E-10</v>
      </c>
      <c r="O23">
        <f>BINOMDIST($A23,90,'estadísticos descriptivos'!C$6/90,0)*'estadísticos descriptivos'!C$2</f>
        <v>2.7033085411993401E-24</v>
      </c>
      <c r="P23">
        <f>BINOMDIST($A23,90,'estadísticos descriptivos'!D$6/90,0)*'estadísticos descriptivos'!D$2</f>
        <v>7.5114606447158321E-13</v>
      </c>
      <c r="Q23">
        <f>BINOMDIST($A23,90,'estadísticos descriptivos'!E$6/90,0)*'estadísticos descriptivos'!E$2</f>
        <v>2.2292045698854403E-20</v>
      </c>
      <c r="R23" s="3">
        <f t="shared" si="4"/>
        <v>2.443444704604819E-10</v>
      </c>
      <c r="S23">
        <f t="shared" si="5"/>
        <v>2.7033085411993401E-24</v>
      </c>
      <c r="T23">
        <f t="shared" si="6"/>
        <v>7.5114606447158321E-13</v>
      </c>
      <c r="U23">
        <f t="shared" si="7"/>
        <v>2.2292045698854403E-20</v>
      </c>
      <c r="V23" s="3">
        <f t="shared" si="13"/>
        <v>6.6008344084865914E-11</v>
      </c>
      <c r="W23">
        <f t="shared" si="14"/>
        <v>7.0357598921806474E-25</v>
      </c>
      <c r="X23">
        <f t="shared" si="15"/>
        <v>3.0987327795438566E-6</v>
      </c>
      <c r="Y23" s="4">
        <f t="shared" si="16"/>
        <v>1.0179006718581663E-30</v>
      </c>
      <c r="Z23">
        <f t="shared" si="8"/>
        <v>6.6008344084865914E-11</v>
      </c>
      <c r="AA23">
        <f t="shared" si="9"/>
        <v>7.0357598921806465E-25</v>
      </c>
      <c r="AB23">
        <f t="shared" si="10"/>
        <v>3.0987327795438566E-6</v>
      </c>
      <c r="AC23" s="4">
        <f t="shared" si="11"/>
        <v>1.0179006718581663E-30</v>
      </c>
    </row>
    <row r="24" spans="1:29">
      <c r="A24">
        <f t="shared" si="12"/>
        <v>20</v>
      </c>
      <c r="B24" s="3">
        <f>+COUNTIF(desglose!F:F,'pruebas de bondad de ajuste'!$A24)</f>
        <v>0</v>
      </c>
      <c r="C24">
        <f>+COUNTIF(desglose!G:G,'pruebas de bondad de ajuste'!$A24)</f>
        <v>0</v>
      </c>
      <c r="D24">
        <f>+COUNTIF(desglose!Q:Q,'pruebas de bondad de ajuste'!$A24)/'estadísticos descriptivos'!D$2</f>
        <v>0</v>
      </c>
      <c r="E24" s="4">
        <f>+COUNTIF(desglose!R:R,'pruebas de bondad de ajuste'!$A24)/'estadísticos descriptivos'!E$2</f>
        <v>0</v>
      </c>
      <c r="F24" s="3">
        <f>+_xlfn.POISSON.DIST($A24,'estadísticos descriptivos'!B$6,0)*'estadísticos descriptivos'!B$2</f>
        <v>1.445552429524195E-10</v>
      </c>
      <c r="G24">
        <f>+_xlfn.POISSON.DIST($A24,'estadísticos descriptivos'!C$6,0)*'estadísticos descriptivos'!C$2</f>
        <v>4.0952603354778994E-25</v>
      </c>
      <c r="H24">
        <f>+_xlfn.POISSON.DIST($A24,'estadísticos descriptivos'!D$6,0)*'estadísticos descriptivos'!D$2</f>
        <v>3.7406072014458121E-13</v>
      </c>
      <c r="I24">
        <f>+_xlfn.POISSON.DIST($A24,'estadísticos descriptivos'!E$6,0)*'estadísticos descriptivos'!E$2</f>
        <v>5.3568280548665518E-21</v>
      </c>
      <c r="J24">
        <f t="shared" si="0"/>
        <v>1.445552429524195E-10</v>
      </c>
      <c r="K24">
        <f t="shared" si="1"/>
        <v>4.0952603354778994E-25</v>
      </c>
      <c r="L24">
        <f t="shared" si="2"/>
        <v>3.7406072014458121E-13</v>
      </c>
      <c r="M24" s="4">
        <f t="shared" si="3"/>
        <v>5.356828054866551E-21</v>
      </c>
      <c r="N24">
        <f>BINOMDIST($A24,90,'estadísticos descriptivos'!B$6/90,0)*'estadísticos descriptivos'!B$2</f>
        <v>2.5220723764126184E-11</v>
      </c>
      <c r="O24">
        <f>BINOMDIST($A24,90,'estadísticos descriptivos'!C$6/90,0)*'estadísticos descriptivos'!C$2</f>
        <v>4.5917441728505138E-26</v>
      </c>
      <c r="P24">
        <f>BINOMDIST($A24,90,'estadísticos descriptivos'!D$6/90,0)*'estadísticos descriptivos'!D$2</f>
        <v>5.7164773002345503E-14</v>
      </c>
      <c r="Q24">
        <f>BINOMDIST($A24,90,'estadísticos descriptivos'!E$6/90,0)*'estadísticos descriptivos'!E$2</f>
        <v>6.4018538207973039E-22</v>
      </c>
      <c r="R24" s="3">
        <f t="shared" si="4"/>
        <v>2.5220723764126184E-11</v>
      </c>
      <c r="S24">
        <f t="shared" si="5"/>
        <v>4.5917441728505143E-26</v>
      </c>
      <c r="T24">
        <f t="shared" si="6"/>
        <v>5.7164773002345503E-14</v>
      </c>
      <c r="U24">
        <f t="shared" si="7"/>
        <v>6.4018538207973039E-22</v>
      </c>
      <c r="V24" s="3">
        <f t="shared" si="13"/>
        <v>8.1375333099013114E-12</v>
      </c>
      <c r="W24">
        <f t="shared" si="14"/>
        <v>1.4358693657511438E-26</v>
      </c>
      <c r="X24">
        <f t="shared" si="15"/>
        <v>-2.4878305090107876E-6</v>
      </c>
      <c r="Y24" s="4">
        <f t="shared" si="16"/>
        <v>-1.8643860562754914E-32</v>
      </c>
      <c r="Z24">
        <f t="shared" si="8"/>
        <v>8.1375333099013114E-12</v>
      </c>
      <c r="AA24">
        <f t="shared" si="9"/>
        <v>1.4358693657511438E-26</v>
      </c>
      <c r="AB24">
        <f t="shared" si="10"/>
        <v>-2.4878305090107876E-6</v>
      </c>
      <c r="AC24" s="4">
        <f t="shared" si="11"/>
        <v>-1.8643860562754914E-32</v>
      </c>
    </row>
    <row r="25" spans="1:29">
      <c r="A25">
        <f t="shared" si="12"/>
        <v>21</v>
      </c>
      <c r="B25" s="3">
        <f>+COUNTIF(desglose!F:F,'pruebas de bondad de ajuste'!$A25)</f>
        <v>0</v>
      </c>
      <c r="C25">
        <f>+COUNTIF(desglose!G:G,'pruebas de bondad de ajuste'!$A25)</f>
        <v>0</v>
      </c>
      <c r="D25">
        <f>+COUNTIF(desglose!Q:Q,'pruebas de bondad de ajuste'!$A25)/'estadísticos descriptivos'!D$2</f>
        <v>0</v>
      </c>
      <c r="E25" s="4">
        <f>+COUNTIF(desglose!R:R,'pruebas de bondad de ajuste'!$A25)/'estadísticos descriptivos'!E$2</f>
        <v>0</v>
      </c>
      <c r="F25" s="3">
        <f>+_xlfn.POISSON.DIST($A25,'estadísticos descriptivos'!B$6,0)*'estadísticos descriptivos'!B$2</f>
        <v>1.7503968194238442E-11</v>
      </c>
      <c r="G25">
        <f>+_xlfn.POISSON.DIST($A25,'estadísticos descriptivos'!C$6,0)*'estadísticos descriptivos'!C$2</f>
        <v>8.357674154036527E-27</v>
      </c>
      <c r="H25">
        <f>+_xlfn.POISSON.DIST($A25,'estadísticos descriptivos'!D$6,0)*'estadísticos descriptivos'!D$2</f>
        <v>3.3645673240517553E-14</v>
      </c>
      <c r="I25">
        <f>+_xlfn.POISSON.DIST($A25,'estadísticos descriptivos'!E$6,0)*'estadísticos descriptivos'!E$2</f>
        <v>1.8422953627847931E-22</v>
      </c>
      <c r="J25">
        <f t="shared" si="0"/>
        <v>1.7503968194238442E-11</v>
      </c>
      <c r="K25">
        <f t="shared" si="1"/>
        <v>8.357674154036527E-27</v>
      </c>
      <c r="L25">
        <f t="shared" si="2"/>
        <v>3.3645673240517553E-14</v>
      </c>
      <c r="M25" s="4">
        <f t="shared" si="3"/>
        <v>1.8422953627847931E-22</v>
      </c>
      <c r="N25">
        <f>BINOMDIST($A25,90,'estadísticos descriptivos'!B$6/90,0)*'estadísticos descriptivos'!B$2</f>
        <v>2.4443476151663E-12</v>
      </c>
      <c r="O25">
        <f>BINOMDIST($A25,90,'estadísticos descriptivos'!C$6/90,0)*'estadísticos descriptivos'!C$2</f>
        <v>7.3233559375607264E-28</v>
      </c>
      <c r="P25">
        <f>BINOMDIST($A25,90,'estadísticos descriptivos'!D$6/90,0)*'estadísticos descriptivos'!D$2</f>
        <v>4.0849144221936221E-15</v>
      </c>
      <c r="Q25">
        <f>BINOMDIST($A25,90,'estadísticos descriptivos'!E$6/90,0)*'estadísticos descriptivos'!E$2</f>
        <v>1.7262829220154719E-23</v>
      </c>
      <c r="R25" s="3">
        <f t="shared" si="4"/>
        <v>2.4443476151663E-12</v>
      </c>
      <c r="S25">
        <f t="shared" si="5"/>
        <v>7.3233559375607264E-28</v>
      </c>
      <c r="T25">
        <f t="shared" si="6"/>
        <v>4.0849144221936221E-15</v>
      </c>
      <c r="U25">
        <f t="shared" si="7"/>
        <v>1.7262829220154719E-23</v>
      </c>
      <c r="V25" s="3">
        <f t="shared" si="13"/>
        <v>9.5857354385577355E-13</v>
      </c>
      <c r="W25">
        <f t="shared" si="14"/>
        <v>2.7971481150996136E-28</v>
      </c>
      <c r="X25">
        <f t="shared" si="15"/>
        <v>2.0236407647274413E-6</v>
      </c>
      <c r="Y25" s="4">
        <f t="shared" si="16"/>
        <v>3.7461625967644589E-34</v>
      </c>
      <c r="Z25">
        <f t="shared" si="8"/>
        <v>9.5857354385577355E-13</v>
      </c>
      <c r="AA25">
        <f t="shared" si="9"/>
        <v>2.7971481150996136E-28</v>
      </c>
      <c r="AB25">
        <f t="shared" si="10"/>
        <v>2.0236407647274413E-6</v>
      </c>
      <c r="AC25" s="4">
        <f t="shared" si="11"/>
        <v>3.7461625967644589E-34</v>
      </c>
    </row>
    <row r="26" spans="1:29">
      <c r="A26">
        <f t="shared" si="12"/>
        <v>22</v>
      </c>
      <c r="B26" s="3">
        <f>+COUNTIF(desglose!F:F,'pruebas de bondad de ajuste'!$A26)</f>
        <v>0</v>
      </c>
      <c r="C26">
        <f>+COUNTIF(desglose!G:G,'pruebas de bondad de ajuste'!$A26)</f>
        <v>0</v>
      </c>
      <c r="D26">
        <f>+COUNTIF(desglose!Q:Q,'pruebas de bondad de ajuste'!$A26)/'estadísticos descriptivos'!D$2</f>
        <v>0</v>
      </c>
      <c r="E26" s="4">
        <f>+COUNTIF(desglose!R:R,'pruebas de bondad de ajuste'!$A26)/'estadísticos descriptivos'!E$2</f>
        <v>0</v>
      </c>
      <c r="F26" s="3">
        <f>+_xlfn.POISSON.DIST($A26,'estadísticos descriptivos'!B$6,0)*'estadísticos descriptivos'!B$2</f>
        <v>2.0231859341392464E-12</v>
      </c>
      <c r="G26">
        <f>+_xlfn.POISSON.DIST($A26,'estadísticos descriptivos'!C$6,0)*'estadísticos descriptivos'!C$2</f>
        <v>1.6281183416954201E-28</v>
      </c>
      <c r="H26">
        <f>+_xlfn.POISSON.DIST($A26,'estadísticos descriptivos'!D$6,0)*'estadísticos descriptivos'!D$2</f>
        <v>2.8887699246909178E-15</v>
      </c>
      <c r="I26">
        <f>+_xlfn.POISSON.DIST($A26,'estadísticos descriptivos'!E$6,0)*'estadísticos descriptivos'!E$2</f>
        <v>6.0479393222732913E-24</v>
      </c>
      <c r="J26">
        <f t="shared" si="0"/>
        <v>2.0231859341392464E-12</v>
      </c>
      <c r="K26">
        <f t="shared" si="1"/>
        <v>1.6281183416954201E-28</v>
      </c>
      <c r="L26">
        <f t="shared" si="2"/>
        <v>2.8887699246909178E-15</v>
      </c>
      <c r="M26" s="4">
        <f t="shared" si="3"/>
        <v>6.047939322273292E-24</v>
      </c>
      <c r="N26">
        <f>BINOMDIST($A26,90,'estadísticos descriptivos'!B$6/90,0)*'estadísticos descriptivos'!B$2</f>
        <v>2.2290307244715422E-13</v>
      </c>
      <c r="O26">
        <f>BINOMDIST($A26,90,'estadísticos descriptivos'!C$6/90,0)*'estadísticos descriptivos'!C$2</f>
        <v>1.0989812085508549E-29</v>
      </c>
      <c r="P26">
        <f>BINOMDIST($A26,90,'estadísticos descriptivos'!D$6/90,0)*'estadísticos descriptivos'!D$2</f>
        <v>2.7465348029537467E-16</v>
      </c>
      <c r="Q26">
        <f>BINOMDIST($A26,90,'estadísticos descriptivos'!E$6/90,0)*'estadísticos descriptivos'!E$2</f>
        <v>4.3799167874861514E-25</v>
      </c>
      <c r="R26" s="3">
        <f t="shared" si="4"/>
        <v>2.2290307244715422E-13</v>
      </c>
      <c r="S26">
        <f t="shared" si="5"/>
        <v>1.0989812085508549E-29</v>
      </c>
      <c r="T26">
        <f t="shared" si="6"/>
        <v>2.7465348029537467E-16</v>
      </c>
      <c r="U26">
        <f t="shared" si="7"/>
        <v>4.3799167874861514E-25</v>
      </c>
      <c r="V26" s="3">
        <f t="shared" si="13"/>
        <v>1.0811715195491481E-13</v>
      </c>
      <c r="W26">
        <f t="shared" si="14"/>
        <v>5.2120772331048349E-30</v>
      </c>
      <c r="X26">
        <f t="shared" si="15"/>
        <v>-1.6655760026213177E-6</v>
      </c>
      <c r="Y26" s="4">
        <f t="shared" si="16"/>
        <v>-8.1351726871927582E-36</v>
      </c>
      <c r="Z26">
        <f t="shared" si="8"/>
        <v>1.0811715195491481E-13</v>
      </c>
      <c r="AA26">
        <f t="shared" si="9"/>
        <v>5.2120772331048349E-30</v>
      </c>
      <c r="AB26">
        <f t="shared" si="10"/>
        <v>-1.6655760026213175E-6</v>
      </c>
      <c r="AC26" s="4">
        <f t="shared" si="11"/>
        <v>-8.1351726871927582E-36</v>
      </c>
    </row>
    <row r="27" spans="1:29">
      <c r="A27">
        <f t="shared" si="12"/>
        <v>23</v>
      </c>
      <c r="B27" s="3">
        <f>+COUNTIF(desglose!F:F,'pruebas de bondad de ajuste'!$A27)</f>
        <v>0</v>
      </c>
      <c r="C27">
        <f>+COUNTIF(desglose!G:G,'pruebas de bondad de ajuste'!$A27)</f>
        <v>0</v>
      </c>
      <c r="D27">
        <f>+COUNTIF(desglose!Q:Q,'pruebas de bondad de ajuste'!$A27)/'estadísticos descriptivos'!D$2</f>
        <v>0</v>
      </c>
      <c r="E27" s="4">
        <f>+COUNTIF(desglose!R:R,'pruebas de bondad de ajuste'!$A27)/'estadísticos descriptivos'!E$2</f>
        <v>0</v>
      </c>
      <c r="F27" s="3">
        <f>+_xlfn.POISSON.DIST($A27,'estadísticos descriptivos'!B$6,0)*'estadísticos descriptivos'!B$2</f>
        <v>2.2368142625887362E-13</v>
      </c>
      <c r="G27">
        <f>+_xlfn.POISSON.DIST($A27,'estadísticos descriptivos'!C$6,0)*'estadísticos descriptivos'!C$2</f>
        <v>3.0337608851467433E-30</v>
      </c>
      <c r="H27">
        <f>+_xlfn.POISSON.DIST($A27,'estadísticos descriptivos'!D$6,0)*'estadísticos descriptivos'!D$2</f>
        <v>2.372419744915243E-16</v>
      </c>
      <c r="I27">
        <f>+_xlfn.POISSON.DIST($A27,'estadísticos descriptivos'!E$6,0)*'estadísticos descriptivos'!E$2</f>
        <v>1.8991113813901636E-25</v>
      </c>
      <c r="J27">
        <f t="shared" si="0"/>
        <v>2.2368142625887362E-13</v>
      </c>
      <c r="K27">
        <f t="shared" si="1"/>
        <v>3.0337608851467433E-30</v>
      </c>
      <c r="L27">
        <f t="shared" si="2"/>
        <v>2.372419744915243E-16</v>
      </c>
      <c r="M27" s="4">
        <f t="shared" si="3"/>
        <v>1.8991113813901636E-25</v>
      </c>
      <c r="N27">
        <f>BINOMDIST($A27,90,'estadísticos descriptivos'!B$6/90,0)*'estadísticos descriptivos'!B$2</f>
        <v>1.9161248731590654E-14</v>
      </c>
      <c r="O27">
        <f>BINOMDIST($A27,90,'estadísticos descriptivos'!C$6/90,0)*'estadísticos descriptivos'!C$2</f>
        <v>1.5546228870700555E-31</v>
      </c>
      <c r="P27">
        <f>BINOMDIST($A27,90,'estadísticos descriptivos'!D$6/90,0)*'estadísticos descriptivos'!D$2</f>
        <v>1.7407720994651801E-17</v>
      </c>
      <c r="Q27">
        <f>BINOMDIST($A27,90,'estadísticos descriptivos'!E$6/90,0)*'estadísticos descriptivos'!E$2</f>
        <v>1.0475491572570478E-26</v>
      </c>
      <c r="R27" s="3">
        <f t="shared" si="4"/>
        <v>1.9161248731590654E-14</v>
      </c>
      <c r="S27">
        <f t="shared" si="5"/>
        <v>1.5546228870700555E-31</v>
      </c>
      <c r="T27">
        <f t="shared" si="6"/>
        <v>1.7407720994651801E-17</v>
      </c>
      <c r="U27">
        <f t="shared" si="7"/>
        <v>1.0475491572570478E-26</v>
      </c>
      <c r="V27" s="3">
        <f t="shared" si="13"/>
        <v>1.1698267696336589E-14</v>
      </c>
      <c r="W27">
        <f t="shared" si="14"/>
        <v>9.3072807734014267E-32</v>
      </c>
      <c r="X27">
        <f t="shared" si="15"/>
        <v>1.38559067823701E-6</v>
      </c>
      <c r="Y27" s="4">
        <f t="shared" si="16"/>
        <v>1.8876469497240829E-37</v>
      </c>
      <c r="Z27">
        <f t="shared" si="8"/>
        <v>1.1698267696336589E-14</v>
      </c>
      <c r="AA27">
        <f t="shared" si="9"/>
        <v>9.3072807734014267E-32</v>
      </c>
      <c r="AB27">
        <f t="shared" si="10"/>
        <v>1.38559067823701E-6</v>
      </c>
      <c r="AC27" s="4">
        <f t="shared" si="11"/>
        <v>1.8876469497240829E-37</v>
      </c>
    </row>
    <row r="28" spans="1:29">
      <c r="A28">
        <f t="shared" si="12"/>
        <v>24</v>
      </c>
      <c r="B28" s="3">
        <f>+COUNTIF(desglose!F:F,'pruebas de bondad de ajuste'!$A28)</f>
        <v>0</v>
      </c>
      <c r="C28">
        <f>+COUNTIF(desglose!G:G,'pruebas de bondad de ajuste'!$A28)</f>
        <v>0</v>
      </c>
      <c r="D28">
        <f>+COUNTIF(desglose!Q:Q,'pruebas de bondad de ajuste'!$A28)/'estadísticos descriptivos'!D$2</f>
        <v>0</v>
      </c>
      <c r="E28" s="4">
        <f>+COUNTIF(desglose!R:R,'pruebas de bondad de ajuste'!$A28)/'estadísticos descriptivos'!E$2</f>
        <v>0</v>
      </c>
      <c r="F28" s="3">
        <f>+_xlfn.POISSON.DIST($A28,'estadísticos descriptivos'!B$6,0)*'estadísticos descriptivos'!B$2</f>
        <v>2.369957968695206E-14</v>
      </c>
      <c r="G28">
        <f>+_xlfn.POISSON.DIST($A28,'estadísticos descriptivos'!C$6,0)*'estadísticos descriptivos'!C$2</f>
        <v>5.4174301520477729E-32</v>
      </c>
      <c r="H28">
        <f>+_xlfn.POISSON.DIST($A28,'estadísticos descriptivos'!D$6,0)*'estadísticos descriptivos'!D$2</f>
        <v>1.8671822066462469E-17</v>
      </c>
      <c r="I28">
        <f>+_xlfn.POISSON.DIST($A28,'estadísticos descriptivos'!E$6,0)*'estadísticos descriptivos'!E$2</f>
        <v>5.7149185088130135E-27</v>
      </c>
      <c r="J28">
        <f t="shared" si="0"/>
        <v>2.369957968695206E-14</v>
      </c>
      <c r="K28">
        <f t="shared" si="1"/>
        <v>5.4174301520477729E-32</v>
      </c>
      <c r="L28">
        <f t="shared" si="2"/>
        <v>1.8671822066462469E-17</v>
      </c>
      <c r="M28" s="4">
        <f t="shared" si="3"/>
        <v>5.7149185088130135E-27</v>
      </c>
      <c r="N28">
        <f>BINOMDIST($A28,90,'estadísticos descriptivos'!B$6/90,0)*'estadísticos descriptivos'!B$2</f>
        <v>1.555299550616279E-15</v>
      </c>
      <c r="O28">
        <f>BINOMDIST($A28,90,'estadísticos descriptivos'!C$6/90,0)*'estadísticos descriptivos'!C$2</f>
        <v>2.0765497096031375E-33</v>
      </c>
      <c r="P28">
        <f>BINOMDIST($A28,90,'estadísticos descriptivos'!D$6/90,0)*'estadísticos descriptivos'!D$2</f>
        <v>1.0417924659998039E-18</v>
      </c>
      <c r="Q28">
        <f>BINOMDIST($A28,90,'estadísticos descriptivos'!E$6/90,0)*'estadísticos descriptivos'!E$2</f>
        <v>2.3657314767965584E-28</v>
      </c>
      <c r="R28" s="3">
        <f t="shared" si="4"/>
        <v>1.555299550616279E-15</v>
      </c>
      <c r="S28">
        <f t="shared" si="5"/>
        <v>2.0765497096031375E-33</v>
      </c>
      <c r="T28">
        <f t="shared" si="6"/>
        <v>1.0417924659998039E-18</v>
      </c>
      <c r="U28">
        <f t="shared" si="7"/>
        <v>2.3657314767965584E-28</v>
      </c>
      <c r="V28" s="3">
        <f t="shared" si="13"/>
        <v>1.2163554478917313E-15</v>
      </c>
      <c r="W28">
        <f t="shared" si="14"/>
        <v>1.5955338468688049E-33</v>
      </c>
      <c r="X28">
        <f t="shared" si="15"/>
        <v>-1.1639395371894564E-6</v>
      </c>
      <c r="Y28" s="4">
        <f t="shared" si="16"/>
        <v>-4.6383329088913865E-39</v>
      </c>
      <c r="Z28">
        <f t="shared" si="8"/>
        <v>1.2163554478917313E-15</v>
      </c>
      <c r="AA28">
        <f t="shared" si="9"/>
        <v>1.5955338468688049E-33</v>
      </c>
      <c r="AB28">
        <f t="shared" si="10"/>
        <v>-1.1639395371894564E-6</v>
      </c>
      <c r="AC28" s="4">
        <f t="shared" si="11"/>
        <v>-4.6383329088913865E-39</v>
      </c>
    </row>
    <row r="29" spans="1:29">
      <c r="A29">
        <f t="shared" si="12"/>
        <v>25</v>
      </c>
      <c r="B29" s="3">
        <f>+COUNTIF(desglose!F:F,'pruebas de bondad de ajuste'!$A29)</f>
        <v>0</v>
      </c>
      <c r="C29">
        <f>+COUNTIF(desglose!G:G,'pruebas de bondad de ajuste'!$A29)</f>
        <v>0</v>
      </c>
      <c r="D29">
        <f>+COUNTIF(desglose!Q:Q,'pruebas de bondad de ajuste'!$A29)/'estadísticos descriptivos'!D$2</f>
        <v>0</v>
      </c>
      <c r="E29" s="4">
        <f>+COUNTIF(desglose!R:R,'pruebas de bondad de ajuste'!$A29)/'estadísticos descriptivos'!E$2</f>
        <v>0</v>
      </c>
      <c r="F29" s="3">
        <f>+_xlfn.POISSON.DIST($A29,'estadísticos descriptivos'!B$6,0)*'estadísticos descriptivos'!B$2</f>
        <v>2.4105858195871054E-15</v>
      </c>
      <c r="G29">
        <f>+_xlfn.POISSON.DIST($A29,'estadísticos descriptivos'!C$6,0)*'estadísticos descriptivos'!C$2</f>
        <v>9.2870231177962218E-34</v>
      </c>
      <c r="H29">
        <f>+_xlfn.POISSON.DIST($A29,'estadísticos descriptivos'!D$6,0)*'estadísticos descriptivos'!D$2</f>
        <v>1.4107598894660677E-18</v>
      </c>
      <c r="I29">
        <f>+_xlfn.POISSON.DIST($A29,'estadísticos descriptivos'!E$6,0)*'estadísticos descriptivos'!E$2</f>
        <v>1.6509764581015408E-28</v>
      </c>
      <c r="J29">
        <f t="shared" si="0"/>
        <v>2.4105858195871054E-15</v>
      </c>
      <c r="K29">
        <f t="shared" si="1"/>
        <v>9.2870231177962218E-34</v>
      </c>
      <c r="L29">
        <f t="shared" si="2"/>
        <v>1.4107598894660677E-18</v>
      </c>
      <c r="M29" s="4">
        <f t="shared" si="3"/>
        <v>1.6509764581015408E-28</v>
      </c>
      <c r="N29">
        <f>BINOMDIST($A29,90,'estadísticos descriptivos'!B$6/90,0)*'estadísticos descriptivos'!B$2</f>
        <v>1.1938359438510383E-16</v>
      </c>
      <c r="O29">
        <f>BINOMDIST($A29,90,'estadísticos descriptivos'!C$6/90,0)*'estadísticos descriptivos'!C$2</f>
        <v>2.6230101594987589E-35</v>
      </c>
      <c r="P29">
        <f>BINOMDIST($A29,90,'estadísticos descriptivos'!D$6/90,0)*'estadísticos descriptivos'!D$2</f>
        <v>5.8960461379662175E-20</v>
      </c>
      <c r="Q29">
        <f>BINOMDIST($A29,90,'estadísticos descriptivos'!E$6/90,0)*'estadísticos descriptivos'!E$2</f>
        <v>5.052389812299694E-30</v>
      </c>
      <c r="R29" s="3">
        <f t="shared" si="4"/>
        <v>1.1938359438510383E-16</v>
      </c>
      <c r="S29">
        <f t="shared" si="5"/>
        <v>2.6230101594987589E-35</v>
      </c>
      <c r="T29">
        <f t="shared" si="6"/>
        <v>5.8960461379662175E-20</v>
      </c>
      <c r="U29">
        <f t="shared" si="7"/>
        <v>5.052389812299694E-30</v>
      </c>
      <c r="V29" s="3">
        <f t="shared" si="13"/>
        <v>1.2173246764824871E-16</v>
      </c>
      <c r="W29">
        <f t="shared" si="14"/>
        <v>2.6300008464870212E-35</v>
      </c>
      <c r="X29">
        <f t="shared" si="15"/>
        <v>9.864832444423225E-7</v>
      </c>
      <c r="Y29" s="4">
        <f t="shared" si="16"/>
        <v>1.1983261011704614E-40</v>
      </c>
      <c r="Z29">
        <f t="shared" si="8"/>
        <v>1.2173246764824871E-16</v>
      </c>
      <c r="AA29">
        <f t="shared" si="9"/>
        <v>2.6300008464870212E-35</v>
      </c>
      <c r="AB29">
        <f t="shared" si="10"/>
        <v>9.864832444423225E-7</v>
      </c>
      <c r="AC29" s="4">
        <f t="shared" si="11"/>
        <v>1.1983261011704614E-40</v>
      </c>
    </row>
    <row r="30" spans="1:29">
      <c r="A30">
        <f t="shared" si="12"/>
        <v>26</v>
      </c>
      <c r="B30" s="3">
        <f>+COUNTIF(desglose!F:F,'pruebas de bondad de ajuste'!$A30)</f>
        <v>0</v>
      </c>
      <c r="C30">
        <f>+COUNTIF(desglose!G:G,'pruebas de bondad de ajuste'!$A30)</f>
        <v>0</v>
      </c>
      <c r="D30">
        <f>+COUNTIF(desglose!Q:Q,'pruebas de bondad de ajuste'!$A30)/'estadísticos descriptivos'!D$2</f>
        <v>0</v>
      </c>
      <c r="E30" s="4">
        <f>+COUNTIF(desglose!R:R,'pruebas de bondad de ajuste'!$A30)/'estadísticos descriptivos'!E$2</f>
        <v>0</v>
      </c>
      <c r="F30" s="3">
        <f>+_xlfn.POISSON.DIST($A30,'estadísticos descriptivos'!B$6,0)*'estadísticos descriptivos'!B$2</f>
        <v>2.3576059114643213E-16</v>
      </c>
      <c r="G30">
        <f>+_xlfn.POISSON.DIST($A30,'estadísticos descriptivos'!C$6,0)*'estadísticos descriptivos'!C$2</f>
        <v>1.5308279864499235E-35</v>
      </c>
      <c r="H30">
        <f>+_xlfn.POISSON.DIST($A30,'estadísticos descriptivos'!D$6,0)*'estadísticos descriptivos'!D$2</f>
        <v>1.0249110308086821E-19</v>
      </c>
      <c r="I30">
        <f>+_xlfn.POISSON.DIST($A30,'estadísticos descriptivos'!E$6,0)*'estadísticos descriptivos'!E$2</f>
        <v>4.5860457169487115E-30</v>
      </c>
      <c r="J30">
        <f t="shared" si="0"/>
        <v>2.3576059114643213E-16</v>
      </c>
      <c r="K30">
        <f t="shared" si="1"/>
        <v>1.5308279864499235E-35</v>
      </c>
      <c r="L30">
        <f t="shared" si="2"/>
        <v>1.0249110308086821E-19</v>
      </c>
      <c r="M30" s="4">
        <f t="shared" si="3"/>
        <v>4.5860457169487115E-30</v>
      </c>
      <c r="N30">
        <f>BINOMDIST($A30,90,'estadísticos descriptivos'!B$6/90,0)*'estadísticos descriptivos'!B$2</f>
        <v>8.67783395971425E-18</v>
      </c>
      <c r="O30">
        <f>BINOMDIST($A30,90,'estadísticos descriptivos'!C$6/90,0)*'estadísticos descriptivos'!C$2</f>
        <v>3.1375719611229383E-37</v>
      </c>
      <c r="P30">
        <f>BINOMDIST($A30,90,'estadísticos descriptivos'!D$6/90,0)*'estadísticos descriptivos'!D$2</f>
        <v>3.1599238444333119E-21</v>
      </c>
      <c r="Q30">
        <f>BINOMDIST($A30,90,'estadísticos descriptivos'!E$6/90,0)*'estadísticos descriptivos'!E$2</f>
        <v>1.0217963217158875E-31</v>
      </c>
      <c r="R30" s="3">
        <f t="shared" si="4"/>
        <v>8.67783395971425E-18</v>
      </c>
      <c r="S30">
        <f t="shared" si="5"/>
        <v>3.1375719611229383E-37</v>
      </c>
      <c r="T30">
        <f t="shared" si="6"/>
        <v>3.1599238444333123E-21</v>
      </c>
      <c r="U30">
        <f t="shared" si="7"/>
        <v>1.0217963217158875E-31</v>
      </c>
      <c r="V30" s="3">
        <f t="shared" si="13"/>
        <v>1.1743614749488061E-17</v>
      </c>
      <c r="W30">
        <f t="shared" si="14"/>
        <v>4.1746045182333351E-37</v>
      </c>
      <c r="X30">
        <f t="shared" si="15"/>
        <v>-8.4293915441899655E-7</v>
      </c>
      <c r="Y30" s="4">
        <f t="shared" si="16"/>
        <v>-3.2360727110388197E-42</v>
      </c>
      <c r="Z30">
        <f t="shared" si="8"/>
        <v>1.1743614749488061E-17</v>
      </c>
      <c r="AA30">
        <f t="shared" si="9"/>
        <v>4.1746045182333351E-37</v>
      </c>
      <c r="AB30">
        <f t="shared" si="10"/>
        <v>-8.4293915441899655E-7</v>
      </c>
      <c r="AC30" s="4">
        <f t="shared" si="11"/>
        <v>-3.2360727110388197E-42</v>
      </c>
    </row>
    <row r="31" spans="1:29">
      <c r="A31">
        <f t="shared" si="12"/>
        <v>27</v>
      </c>
      <c r="B31" s="3">
        <f>+COUNTIF(desglose!F:F,'pruebas de bondad de ajuste'!$A31)</f>
        <v>0</v>
      </c>
      <c r="C31">
        <f>+COUNTIF(desglose!G:G,'pruebas de bondad de ajuste'!$A31)</f>
        <v>0</v>
      </c>
      <c r="D31">
        <f>+COUNTIF(desglose!Q:Q,'pruebas de bondad de ajuste'!$A31)/'estadísticos descriptivos'!D$2</f>
        <v>0</v>
      </c>
      <c r="E31" s="4">
        <f>+COUNTIF(desglose!R:R,'pruebas de bondad de ajuste'!$A31)/'estadísticos descriptivos'!E$2</f>
        <v>0</v>
      </c>
      <c r="F31" s="3">
        <f>+_xlfn.POISSON.DIST($A31,'estadísticos descriptivos'!B$6,0)*'estadísticos descriptivos'!B$2</f>
        <v>2.2203907525960353E-17</v>
      </c>
      <c r="G31">
        <f>+_xlfn.POISSON.DIST($A31,'estadísticos descriptivos'!C$6,0)*'estadísticos descriptivos'!C$2</f>
        <v>2.4298856927776718E-37</v>
      </c>
      <c r="H31">
        <f>+_xlfn.POISSON.DIST($A31,'estadísticos descriptivos'!D$6,0)*'estadísticos descriptivos'!D$2</f>
        <v>7.1701594747931953E-21</v>
      </c>
      <c r="I31">
        <f>+_xlfn.POISSON.DIST($A31,'estadísticos descriptivos'!E$6,0)*'estadísticos descriptivos'!E$2</f>
        <v>1.2267200477434923E-31</v>
      </c>
      <c r="J31">
        <f t="shared" si="0"/>
        <v>2.2203907525960353E-17</v>
      </c>
      <c r="K31">
        <f t="shared" si="1"/>
        <v>2.4298856927776718E-37</v>
      </c>
      <c r="L31">
        <f t="shared" si="2"/>
        <v>7.1701594747931953E-21</v>
      </c>
      <c r="M31" s="4">
        <f t="shared" si="3"/>
        <v>1.2267200477434923E-31</v>
      </c>
      <c r="N31">
        <f>BINOMDIST($A31,90,'estadísticos descriptivos'!B$6/90,0)*'estadísticos descriptivos'!B$2</f>
        <v>5.9807303634170295E-19</v>
      </c>
      <c r="O31">
        <f>BINOMDIST($A31,90,'estadísticos descriptivos'!C$6/90,0)*'estadísticos descriptivos'!C$2</f>
        <v>3.5584725414117396E-39</v>
      </c>
      <c r="P31">
        <f>BINOMDIST($A31,90,'estadísticos descriptivos'!D$6/90,0)*'estadísticos descriptivos'!D$2</f>
        <v>1.6057153532032336E-22</v>
      </c>
      <c r="Q31">
        <f>BINOMDIST($A31,90,'estadísticos descriptivos'!E$6/90,0)*'estadísticos descriptivos'!E$2</f>
        <v>1.9593319497283035E-33</v>
      </c>
      <c r="R31" s="3">
        <f t="shared" si="4"/>
        <v>5.9807303634170295E-19</v>
      </c>
      <c r="S31">
        <f t="shared" si="5"/>
        <v>3.5584725414117396E-39</v>
      </c>
      <c r="T31">
        <f t="shared" si="6"/>
        <v>1.6057153532032334E-22</v>
      </c>
      <c r="U31">
        <f t="shared" si="7"/>
        <v>1.9593319497283035E-33</v>
      </c>
      <c r="V31" s="3">
        <f t="shared" si="13"/>
        <v>1.0935592503160632E-18</v>
      </c>
      <c r="W31">
        <f t="shared" si="14"/>
        <v>6.3897007932142362E-39</v>
      </c>
      <c r="X31">
        <f t="shared" si="15"/>
        <v>7.2572293397441481E-7</v>
      </c>
      <c r="Y31" s="4">
        <f t="shared" si="16"/>
        <v>9.0904715880267475E-44</v>
      </c>
      <c r="Z31">
        <f t="shared" si="8"/>
        <v>1.0935592503160632E-18</v>
      </c>
      <c r="AA31">
        <f t="shared" si="9"/>
        <v>6.3897007932142362E-39</v>
      </c>
      <c r="AB31">
        <f t="shared" si="10"/>
        <v>7.2572293397441481E-7</v>
      </c>
      <c r="AC31" s="4">
        <f t="shared" si="11"/>
        <v>9.0904715880267475E-44</v>
      </c>
    </row>
    <row r="32" spans="1:29">
      <c r="A32">
        <f t="shared" si="12"/>
        <v>28</v>
      </c>
      <c r="B32" s="3">
        <f>+COUNTIF(desglose!F:F,'pruebas de bondad de ajuste'!$A32)</f>
        <v>0</v>
      </c>
      <c r="C32">
        <f>+COUNTIF(desglose!G:G,'pruebas de bondad de ajuste'!$A32)</f>
        <v>0</v>
      </c>
      <c r="D32">
        <f>+COUNTIF(desglose!Q:Q,'pruebas de bondad de ajuste'!$A32)/'estadísticos descriptivos'!D$2</f>
        <v>0</v>
      </c>
      <c r="E32" s="4">
        <f>+COUNTIF(desglose!R:R,'pruebas de bondad de ajuste'!$A32)/'estadísticos descriptivos'!E$2</f>
        <v>0</v>
      </c>
      <c r="F32" s="3">
        <f>+_xlfn.POISSON.DIST($A32,'estadísticos descriptivos'!B$6,0)*'estadísticos descriptivos'!B$2</f>
        <v>2.0164773161331505E-18</v>
      </c>
      <c r="G32">
        <f>+_xlfn.POISSON.DIST($A32,'estadísticos descriptivos'!C$6,0)*'estadísticos descriptivos'!C$2</f>
        <v>3.7192127950678147E-39</v>
      </c>
      <c r="H32">
        <f>+_xlfn.POISSON.DIST($A32,'estadísticos descriptivos'!D$6,0)*'estadísticos descriptivos'!D$2</f>
        <v>4.8370123441065088E-22</v>
      </c>
      <c r="I32">
        <f>+_xlfn.POISSON.DIST($A32,'estadísticos descriptivos'!E$6,0)*'estadísticos descriptivos'!E$2</f>
        <v>3.1641588533065883E-33</v>
      </c>
      <c r="J32">
        <f t="shared" si="0"/>
        <v>2.0164773161331505E-18</v>
      </c>
      <c r="K32">
        <f t="shared" si="1"/>
        <v>3.7192127950678147E-39</v>
      </c>
      <c r="L32">
        <f t="shared" si="2"/>
        <v>4.8370123441065088E-22</v>
      </c>
      <c r="M32" s="4">
        <f t="shared" si="3"/>
        <v>3.1641588533065883E-33</v>
      </c>
      <c r="N32">
        <f>BINOMDIST($A32,90,'estadísticos descriptivos'!B$6/90,0)*'estadísticos descriptivos'!B$2</f>
        <v>3.9125816898865713E-20</v>
      </c>
      <c r="O32">
        <f>BINOMDIST($A32,90,'estadísticos descriptivos'!C$6/90,0)*'estadísticos descriptivos'!C$2</f>
        <v>3.8308914919504576E-41</v>
      </c>
      <c r="P32">
        <f>BINOMDIST($A32,90,'estadísticos descriptivos'!D$6/90,0)*'estadísticos descriptivos'!D$2</f>
        <v>7.7450961235843369E-24</v>
      </c>
      <c r="Q32">
        <f>BINOMDIST($A32,90,'estadísticos descriptivos'!E$6/90,0)*'estadísticos descriptivos'!E$2</f>
        <v>3.5663011530524101E-35</v>
      </c>
      <c r="R32" s="3">
        <f t="shared" si="4"/>
        <v>3.9125816898865707E-20</v>
      </c>
      <c r="S32">
        <f t="shared" si="5"/>
        <v>3.8308914919504581E-41</v>
      </c>
      <c r="T32">
        <f t="shared" si="6"/>
        <v>7.7450961235843369E-24</v>
      </c>
      <c r="U32">
        <f t="shared" si="7"/>
        <v>3.5663011530524101E-35</v>
      </c>
      <c r="V32" s="3">
        <f t="shared" si="13"/>
        <v>9.8419657822867314E-20</v>
      </c>
      <c r="W32">
        <f t="shared" si="14"/>
        <v>9.4429075761785951E-41</v>
      </c>
      <c r="X32">
        <f t="shared" si="15"/>
        <v>-6.2916743811807066E-7</v>
      </c>
      <c r="Y32" s="4">
        <f t="shared" si="16"/>
        <v>-2.6455340420525481E-45</v>
      </c>
      <c r="Z32">
        <f t="shared" si="8"/>
        <v>9.8419657822867326E-20</v>
      </c>
      <c r="AA32">
        <f t="shared" si="9"/>
        <v>9.4429075761785951E-41</v>
      </c>
      <c r="AB32">
        <f t="shared" si="10"/>
        <v>-6.2916743811807066E-7</v>
      </c>
      <c r="AC32" s="4">
        <f t="shared" si="11"/>
        <v>-2.6455340420525481E-45</v>
      </c>
    </row>
    <row r="33" spans="1:29">
      <c r="A33">
        <f t="shared" si="12"/>
        <v>29</v>
      </c>
      <c r="B33" s="3">
        <f>+COUNTIF(desglose!F:F,'pruebas de bondad de ajuste'!$A33)</f>
        <v>0</v>
      </c>
      <c r="C33">
        <f>+COUNTIF(desglose!G:G,'pruebas de bondad de ajuste'!$A33)</f>
        <v>0</v>
      </c>
      <c r="D33">
        <f>+COUNTIF(desglose!Q:Q,'pruebas de bondad de ajuste'!$A33)/'estadísticos descriptivos'!D$2</f>
        <v>0</v>
      </c>
      <c r="E33" s="4">
        <f>+COUNTIF(desglose!R:R,'pruebas de bondad de ajuste'!$A33)/'estadísticos descriptivos'!E$2</f>
        <v>0</v>
      </c>
      <c r="F33" s="3">
        <f>+_xlfn.POISSON.DIST($A33,'estadísticos descriptivos'!B$6,0)*'estadísticos descriptivos'!B$2</f>
        <v>1.7681426712891366E-19</v>
      </c>
      <c r="G33">
        <f>+_xlfn.POISSON.DIST($A33,'estadísticos descriptivos'!C$6,0)*'estadísticos descriptivos'!C$2</f>
        <v>5.4963735887702413E-41</v>
      </c>
      <c r="H33">
        <f>+_xlfn.POISSON.DIST($A33,'estadísticos descriptivos'!D$6,0)*'estadísticos descriptivos'!D$2</f>
        <v>3.1505444386900426E-23</v>
      </c>
      <c r="I33">
        <f>+_xlfn.POISSON.DIST($A33,'estadísticos descriptivos'!E$6,0)*'estadísticos descriptivos'!E$2</f>
        <v>7.8800890982732114E-35</v>
      </c>
      <c r="J33">
        <f t="shared" si="0"/>
        <v>1.7681426712891366E-19</v>
      </c>
      <c r="K33">
        <f t="shared" si="1"/>
        <v>5.4963735887702413E-41</v>
      </c>
      <c r="L33">
        <f t="shared" si="2"/>
        <v>3.1505444386900426E-23</v>
      </c>
      <c r="M33" s="4">
        <f t="shared" si="3"/>
        <v>7.8800890982732114E-35</v>
      </c>
      <c r="N33">
        <f>BINOMDIST($A33,90,'estadísticos descriptivos'!B$6/90,0)*'estadísticos descriptivos'!B$2</f>
        <v>2.4321132112329456E-21</v>
      </c>
      <c r="O33">
        <f>BINOMDIST($A33,90,'estadísticos descriptivos'!C$6/90,0)*'estadísticos descriptivos'!C$2</f>
        <v>3.9187472776923259E-43</v>
      </c>
      <c r="P33">
        <f>BINOMDIST($A33,90,'estadísticos descriptivos'!D$6/90,0)*'estadísticos descriptivos'!D$2</f>
        <v>3.5497374936982268E-25</v>
      </c>
      <c r="Q33">
        <f>BINOMDIST($A33,90,'estadísticos descriptivos'!E$6/90,0)*'estadísticos descriptivos'!E$2</f>
        <v>6.1679263767574609E-37</v>
      </c>
      <c r="R33" s="3">
        <f t="shared" si="4"/>
        <v>2.432113211232946E-21</v>
      </c>
      <c r="S33">
        <f t="shared" si="5"/>
        <v>3.9187472776923259E-43</v>
      </c>
      <c r="T33">
        <f t="shared" si="6"/>
        <v>3.5497374936982268E-25</v>
      </c>
      <c r="U33">
        <f t="shared" si="7"/>
        <v>6.1679263767574609E-37</v>
      </c>
      <c r="V33" s="3">
        <f t="shared" si="13"/>
        <v>8.5711019080357122E-21</v>
      </c>
      <c r="W33">
        <f t="shared" si="14"/>
        <v>1.3489867965969305E-42</v>
      </c>
      <c r="X33">
        <f t="shared" si="15"/>
        <v>5.4898715375070279E-7</v>
      </c>
      <c r="Y33" s="4">
        <f t="shared" si="16"/>
        <v>7.9487913668263151E-47</v>
      </c>
      <c r="Z33">
        <f t="shared" si="8"/>
        <v>8.5711019080357122E-21</v>
      </c>
      <c r="AA33">
        <f t="shared" si="9"/>
        <v>1.3489867965969305E-42</v>
      </c>
      <c r="AB33">
        <f t="shared" si="10"/>
        <v>5.4898715375070279E-7</v>
      </c>
      <c r="AC33" s="4">
        <f t="shared" si="11"/>
        <v>7.9487913668263151E-47</v>
      </c>
    </row>
    <row r="34" spans="1:29">
      <c r="A34">
        <f t="shared" si="12"/>
        <v>30</v>
      </c>
      <c r="B34" s="3">
        <f>+COUNTIF(desglose!F:F,'pruebas de bondad de ajuste'!$A34)</f>
        <v>0</v>
      </c>
      <c r="C34">
        <f>+COUNTIF(desglose!G:G,'pruebas de bondad de ajuste'!$A34)</f>
        <v>0</v>
      </c>
      <c r="D34">
        <f>+COUNTIF(desglose!Q:Q,'pruebas de bondad de ajuste'!$A34)/'estadísticos descriptivos'!D$2</f>
        <v>0</v>
      </c>
      <c r="E34" s="4">
        <f>+COUNTIF(desglose!R:R,'pruebas de bondad de ajuste'!$A34)/'estadísticos descriptivos'!E$2</f>
        <v>0</v>
      </c>
      <c r="F34" s="3">
        <f>+_xlfn.POISSON.DIST($A34,'estadísticos descriptivos'!B$6,0)*'estadísticos descriptivos'!B$2</f>
        <v>1.4987114070927006E-20</v>
      </c>
      <c r="G34">
        <f>+_xlfn.POISSON.DIST($A34,'estadísticos descriptivos'!C$6,0)*'estadísticos descriptivos'!C$2</f>
        <v>7.8519622696717783E-43</v>
      </c>
      <c r="H34">
        <f>+_xlfn.POISSON.DIST($A34,'estadísticos descriptivos'!D$6,0)*'estadísticos descriptivos'!D$2</f>
        <v>1.9836761280641273E-24</v>
      </c>
      <c r="I34">
        <f>+_xlfn.POISSON.DIST($A34,'estadísticos descriptivos'!E$6,0)*'estadísticos descriptivos'!E$2</f>
        <v>1.8970584866213257E-36</v>
      </c>
      <c r="J34">
        <f t="shared" si="0"/>
        <v>1.4987114070927006E-20</v>
      </c>
      <c r="K34">
        <f t="shared" si="1"/>
        <v>7.8519622696717783E-43</v>
      </c>
      <c r="L34">
        <f t="shared" si="2"/>
        <v>1.9836761280641273E-24</v>
      </c>
      <c r="M34" s="4">
        <f t="shared" si="3"/>
        <v>1.8970584866213257E-36</v>
      </c>
      <c r="N34">
        <f>BINOMDIST($A34,90,'estadísticos descriptivos'!B$6/90,0)*'estadísticos descriptivos'!B$2</f>
        <v>1.437868084915997E-22</v>
      </c>
      <c r="O34">
        <f>BINOMDIST($A34,90,'estadísticos descriptivos'!C$6/90,0)*'estadísticos descriptivos'!C$2</f>
        <v>3.8124973515028419E-45</v>
      </c>
      <c r="P34">
        <f>BINOMDIST($A34,90,'estadísticos descriptivos'!D$6/90,0)*'estadísticos descriptivos'!D$2</f>
        <v>1.5473214716120627E-26</v>
      </c>
      <c r="Q34">
        <f>BINOMDIST($A34,90,'estadísticos descriptivos'!E$6/90,0)*'estadísticos descriptivos'!E$2</f>
        <v>1.0145541623664632E-38</v>
      </c>
      <c r="R34" s="3">
        <f t="shared" si="4"/>
        <v>1.437868084915997E-22</v>
      </c>
      <c r="S34">
        <f t="shared" si="5"/>
        <v>3.8124973515028419E-45</v>
      </c>
      <c r="T34">
        <f t="shared" si="6"/>
        <v>1.5473214716120627E-26</v>
      </c>
      <c r="U34">
        <f t="shared" si="7"/>
        <v>1.0145541623664632E-38</v>
      </c>
      <c r="V34" s="3">
        <f t="shared" si="13"/>
        <v>7.2308460953684043E-22</v>
      </c>
      <c r="W34">
        <f t="shared" si="14"/>
        <v>1.8649587049726984E-44</v>
      </c>
      <c r="X34">
        <f t="shared" si="15"/>
        <v>-4.8190535226382454E-7</v>
      </c>
      <c r="Y34" s="4">
        <f t="shared" si="16"/>
        <v>-2.458480429090779E-48</v>
      </c>
      <c r="Z34">
        <f t="shared" si="8"/>
        <v>7.2308460953684043E-22</v>
      </c>
      <c r="AA34">
        <f t="shared" si="9"/>
        <v>1.8649587049726986E-44</v>
      </c>
      <c r="AB34">
        <f t="shared" si="10"/>
        <v>-4.8190535226382454E-7</v>
      </c>
      <c r="AC34" s="4">
        <f t="shared" si="11"/>
        <v>-2.458480429090779E-48</v>
      </c>
    </row>
    <row r="35" spans="1:29">
      <c r="A35">
        <f t="shared" si="12"/>
        <v>31</v>
      </c>
      <c r="B35" s="3">
        <f>+COUNTIF(desglose!F:F,'pruebas de bondad de ajuste'!$A35)</f>
        <v>0</v>
      </c>
      <c r="C35">
        <f>+COUNTIF(desglose!G:G,'pruebas de bondad de ajuste'!$A35)</f>
        <v>0</v>
      </c>
      <c r="D35">
        <f>+COUNTIF(desglose!Q:Q,'pruebas de bondad de ajuste'!$A35)/'estadísticos descriptivos'!D$2</f>
        <v>0</v>
      </c>
      <c r="E35" s="4">
        <f>+COUNTIF(desglose!R:R,'pruebas de bondad de ajuste'!$A35)/'estadísticos descriptivos'!E$2</f>
        <v>0</v>
      </c>
      <c r="F35" s="3">
        <f>+_xlfn.POISSON.DIST($A35,'estadísticos descriptivos'!B$6,0)*'estadísticos descriptivos'!B$2</f>
        <v>1.229357744066834E-21</v>
      </c>
      <c r="G35">
        <f>+_xlfn.POISSON.DIST($A35,'estadísticos descriptivos'!C$6,0)*'estadísticos descriptivos'!C$2</f>
        <v>1.0855247377426384E-44</v>
      </c>
      <c r="H35">
        <f>+_xlfn.POISSON.DIST($A35,'estadísticos descriptivos'!D$6,0)*'estadísticos descriptivos'!D$2</f>
        <v>1.2086915475659444E-25</v>
      </c>
      <c r="I35">
        <f>+_xlfn.POISSON.DIST($A35,'estadísticos descriptivos'!E$6,0)*'estadísticos descriptivos'!E$2</f>
        <v>4.4196703093328201E-38</v>
      </c>
      <c r="J35">
        <f t="shared" si="0"/>
        <v>1.229357744066834E-21</v>
      </c>
      <c r="K35">
        <f t="shared" si="1"/>
        <v>1.0855247377426384E-44</v>
      </c>
      <c r="L35">
        <f t="shared" si="2"/>
        <v>1.2086915475659444E-25</v>
      </c>
      <c r="M35" s="4">
        <f t="shared" si="3"/>
        <v>4.4196703093328201E-38</v>
      </c>
      <c r="N35">
        <f>BINOMDIST($A35,90,'estadísticos descriptivos'!B$6/90,0)*'estadísticos descriptivos'!B$2</f>
        <v>8.0916162475382881E-24</v>
      </c>
      <c r="O35">
        <f>BINOMDIST($A35,90,'estadísticos descriptivos'!C$6/90,0)*'estadísticos descriptivos'!C$2</f>
        <v>3.5306349913592945E-47</v>
      </c>
      <c r="P35">
        <f>BINOMDIST($A35,90,'estadísticos descriptivos'!D$6/90,0)*'estadísticos descriptivos'!D$2</f>
        <v>6.420159870822512E-28</v>
      </c>
      <c r="Q35">
        <f>BINOMDIST($A35,90,'estadísticos descriptivos'!E$6/90,0)*'estadísticos descriptivos'!E$2</f>
        <v>1.5885184708951428E-40</v>
      </c>
      <c r="R35" s="3">
        <f t="shared" si="4"/>
        <v>8.0916162475382881E-24</v>
      </c>
      <c r="S35">
        <f t="shared" si="5"/>
        <v>3.5306349913592945E-47</v>
      </c>
      <c r="T35">
        <f t="shared" si="6"/>
        <v>6.4201598708225129E-28</v>
      </c>
      <c r="U35">
        <f t="shared" si="7"/>
        <v>1.5885184708951428E-40</v>
      </c>
      <c r="V35" s="3">
        <f t="shared" si="13"/>
        <v>5.9154929531848694E-23</v>
      </c>
      <c r="W35">
        <f t="shared" si="14"/>
        <v>2.4977125513026981E-46</v>
      </c>
      <c r="X35">
        <f t="shared" si="15"/>
        <v>4.2539082591754876E-7</v>
      </c>
      <c r="Y35" s="4">
        <f t="shared" si="16"/>
        <v>7.8073254588766268E-50</v>
      </c>
      <c r="Z35">
        <f t="shared" si="8"/>
        <v>5.9154929531848694E-23</v>
      </c>
      <c r="AA35">
        <f t="shared" si="9"/>
        <v>2.4977125513026981E-46</v>
      </c>
      <c r="AB35">
        <f t="shared" si="10"/>
        <v>4.2539082591754871E-7</v>
      </c>
      <c r="AC35" s="4">
        <f t="shared" si="11"/>
        <v>7.8073254588766268E-50</v>
      </c>
    </row>
    <row r="36" spans="1:29">
      <c r="A36">
        <f t="shared" si="12"/>
        <v>32</v>
      </c>
      <c r="B36" s="3">
        <f>+COUNTIF(desglose!F:F,'pruebas de bondad de ajuste'!$A36)</f>
        <v>0</v>
      </c>
      <c r="C36">
        <f>+COUNTIF(desglose!G:G,'pruebas de bondad de ajuste'!$A36)</f>
        <v>0</v>
      </c>
      <c r="D36">
        <f>+COUNTIF(desglose!Q:Q,'pruebas de bondad de ajuste'!$A36)/'estadísticos descriptivos'!D$2</f>
        <v>0</v>
      </c>
      <c r="E36" s="4">
        <f>+COUNTIF(desglose!R:R,'pruebas de bondad de ajuste'!$A36)/'estadísticos descriptivos'!E$2</f>
        <v>0</v>
      </c>
      <c r="F36" s="3">
        <f>+_xlfn.POISSON.DIST($A36,'estadísticos descriptivos'!B$6,0)*'estadísticos descriptivos'!B$2</f>
        <v>9.7690035019596429E-23</v>
      </c>
      <c r="G36">
        <f>+_xlfn.POISSON.DIST($A36,'estadísticos descriptivos'!C$6,0)*'estadísticos descriptivos'!C$2</f>
        <v>1.4538277737624679E-46</v>
      </c>
      <c r="H36">
        <f>+_xlfn.POISSON.DIST($A36,'estadísticos descriptivos'!D$6,0)*'estadísticos descriptivos'!D$2</f>
        <v>7.1346376071601503E-27</v>
      </c>
      <c r="I36">
        <f>+_xlfn.POISSON.DIST($A36,'estadísticos descriptivos'!E$6,0)*'estadísticos descriptivos'!E$2</f>
        <v>9.9749503509248233E-40</v>
      </c>
      <c r="J36">
        <f t="shared" ref="J36:J67" si="17">+($B36-F36)^2/F36</f>
        <v>9.7690035019596417E-23</v>
      </c>
      <c r="K36">
        <f t="shared" ref="K36:K67" si="18">+($C36-G36)^2/G36</f>
        <v>1.4538277737624679E-46</v>
      </c>
      <c r="L36">
        <f t="shared" ref="L36:L67" si="19">+($D36-H36)^2/H36</f>
        <v>7.1346376071601503E-27</v>
      </c>
      <c r="M36" s="4">
        <f t="shared" ref="M36:M67" si="20">+($E36-I36)^2/I36</f>
        <v>9.9749503509248233E-40</v>
      </c>
      <c r="N36">
        <f>BINOMDIST($A36,90,'estadísticos descriptivos'!B$6/90,0)*'estadísticos descriptivos'!B$2</f>
        <v>4.3377447031018461E-25</v>
      </c>
      <c r="O36">
        <f>BINOMDIST($A36,90,'estadísticos descriptivos'!C$6/90,0)*'estadísticos descriptivos'!C$2</f>
        <v>3.1146451030233304E-49</v>
      </c>
      <c r="P36">
        <f>BINOMDIST($A36,90,'estadísticos descriptivos'!D$6/90,0)*'estadísticos descriptivos'!D$2</f>
        <v>2.5376025971134036E-29</v>
      </c>
      <c r="Q36">
        <f>BINOMDIST($A36,90,'estadísticos descriptivos'!E$6/90,0)*'estadísticos descriptivos'!E$2</f>
        <v>2.3693094025679954E-42</v>
      </c>
      <c r="R36" s="3">
        <f t="shared" ref="R36:R67" si="21">+($B36-N36)^2/N36</f>
        <v>4.3377447031018461E-25</v>
      </c>
      <c r="S36">
        <f t="shared" ref="S36:S67" si="22">+($C36-O36)^2/O36</f>
        <v>3.1146451030233304E-49</v>
      </c>
      <c r="T36">
        <f t="shared" ref="T36:T67" si="23">+($D36-P36)^2/P36</f>
        <v>2.5376025971134036E-29</v>
      </c>
      <c r="U36">
        <f t="shared" ref="U36:U67" si="24">+($E36-Q36)^2/Q36</f>
        <v>2.3693094025679954E-42</v>
      </c>
      <c r="V36" s="3">
        <f t="shared" si="13"/>
        <v>4.6974915918424261E-24</v>
      </c>
      <c r="W36">
        <f t="shared" si="14"/>
        <v>3.2437825341593171E-48</v>
      </c>
      <c r="X36">
        <f t="shared" si="15"/>
        <v>-3.7746955181657975E-7</v>
      </c>
      <c r="Y36" s="4">
        <f t="shared" si="16"/>
        <v>-2.5400566694378121E-51</v>
      </c>
      <c r="Z36">
        <f t="shared" ref="Z36:Z67" si="25">+($B36-V36)^2/V36</f>
        <v>4.6974915918424261E-24</v>
      </c>
      <c r="AA36">
        <f t="shared" ref="AA36:AA67" si="26">+($C36-W36)^2/W36</f>
        <v>3.2437825341593171E-48</v>
      </c>
      <c r="AB36">
        <f t="shared" ref="AB36:AB67" si="27">+($D36-X36)^2/X36</f>
        <v>-3.7746955181657975E-7</v>
      </c>
      <c r="AC36" s="4">
        <f t="shared" ref="AC36:AC67" si="28">+($E36-Y36)^2/Y36</f>
        <v>-2.5400566694378121E-51</v>
      </c>
    </row>
    <row r="37" spans="1:29">
      <c r="A37">
        <f t="shared" ref="A37:A68" si="29">1+A36</f>
        <v>33</v>
      </c>
      <c r="B37" s="3">
        <f>+COUNTIF(desglose!F:F,'pruebas de bondad de ajuste'!$A37)</f>
        <v>0</v>
      </c>
      <c r="C37">
        <f>+COUNTIF(desglose!G:G,'pruebas de bondad de ajuste'!$A37)</f>
        <v>0</v>
      </c>
      <c r="D37">
        <f>+COUNTIF(desglose!Q:Q,'pruebas de bondad de ajuste'!$A37)/'estadísticos descriptivos'!D$2</f>
        <v>0</v>
      </c>
      <c r="E37" s="4">
        <f>+COUNTIF(desglose!R:R,'pruebas de bondad de ajuste'!$A37)/'estadísticos descriptivos'!E$2</f>
        <v>0</v>
      </c>
      <c r="F37" s="3">
        <f>+_xlfn.POISSON.DIST($A37,'estadísticos descriptivos'!B$6,0)*'estadísticos descriptivos'!B$2</f>
        <v>7.5276304041074527E-24</v>
      </c>
      <c r="G37">
        <f>+_xlfn.POISSON.DIST($A37,'estadísticos descriptivos'!C$6,0)*'estadísticos descriptivos'!C$2</f>
        <v>1.8880880178732943E-48</v>
      </c>
      <c r="H37">
        <f>+_xlfn.POISSON.DIST($A37,'estadísticos descriptivos'!D$6,0)*'estadísticos descriptivos'!D$2</f>
        <v>4.0837993037616994E-28</v>
      </c>
      <c r="I37">
        <f>+_xlfn.POISSON.DIST($A37,'estadísticos descriptivos'!E$6,0)*'estadísticos descriptivos'!E$2</f>
        <v>2.1830699421215502E-41</v>
      </c>
      <c r="J37">
        <f t="shared" si="17"/>
        <v>7.5276304041074527E-24</v>
      </c>
      <c r="K37">
        <f t="shared" si="18"/>
        <v>1.8880880178732943E-48</v>
      </c>
      <c r="L37">
        <f t="shared" si="19"/>
        <v>4.0837993037616994E-28</v>
      </c>
      <c r="M37" s="4">
        <f t="shared" si="20"/>
        <v>2.1830699421215502E-41</v>
      </c>
      <c r="N37">
        <f>BINOMDIST($A37,90,'estadísticos descriptivos'!B$6/90,0)*'estadísticos descriptivos'!B$2</f>
        <v>2.2166887586164128E-26</v>
      </c>
      <c r="O37">
        <f>BINOMDIST($A37,90,'estadísticos descriptivos'!C$6/90,0)*'estadísticos descriptivos'!C$2</f>
        <v>2.6192462806343606E-51</v>
      </c>
      <c r="P37">
        <f>BINOMDIST($A37,90,'estadísticos descriptivos'!D$6/90,0)*'estadísticos descriptivos'!D$2</f>
        <v>9.5612219066600221E-31</v>
      </c>
      <c r="Q37">
        <f>BINOMDIST($A37,90,'estadísticos descriptivos'!E$6/90,0)*'estadísticos descriptivos'!E$2</f>
        <v>3.368707528683746E-44</v>
      </c>
      <c r="R37" s="3">
        <f t="shared" si="21"/>
        <v>2.2166887586164128E-26</v>
      </c>
      <c r="S37">
        <f t="shared" si="22"/>
        <v>2.6192462806343606E-51</v>
      </c>
      <c r="T37">
        <f t="shared" si="23"/>
        <v>9.5612219066600221E-31</v>
      </c>
      <c r="U37">
        <f t="shared" si="24"/>
        <v>3.3687075286837465E-44</v>
      </c>
      <c r="V37" s="3">
        <f t="shared" ref="V37:V68" si="30">+($A37+AD$1)/(($A37+1)*(1+AD$2))*V36</f>
        <v>3.6242059817144494E-25</v>
      </c>
      <c r="W37">
        <f t="shared" ref="W37:W68" si="31">+($A37+AE$1)/(($A37+1)*(1+AE$2))*W36</f>
        <v>4.0888015136461575E-50</v>
      </c>
      <c r="X37">
        <f t="shared" ref="X37:X68" si="32">+($A37+AF$1)/(($A37+1)*(1+AF$2))*X36</f>
        <v>3.3658831019711879E-7</v>
      </c>
      <c r="Y37" s="4">
        <f t="shared" ref="Y37:Y68" si="33">+($A37+AG$1)/(($A37+1)*(1+AG$2))*Y36</f>
        <v>8.4497772840306145E-53</v>
      </c>
      <c r="Z37">
        <f t="shared" si="25"/>
        <v>3.6242059817144494E-25</v>
      </c>
      <c r="AA37">
        <f t="shared" si="26"/>
        <v>4.0888015136461575E-50</v>
      </c>
      <c r="AB37">
        <f t="shared" si="27"/>
        <v>3.3658831019711879E-7</v>
      </c>
      <c r="AC37" s="4">
        <f t="shared" si="28"/>
        <v>8.4497772840306145E-53</v>
      </c>
    </row>
    <row r="38" spans="1:29">
      <c r="A38">
        <f t="shared" si="29"/>
        <v>34</v>
      </c>
      <c r="B38" s="3">
        <f>+COUNTIF(desglose!F:F,'pruebas de bondad de ajuste'!$A38)</f>
        <v>0</v>
      </c>
      <c r="C38">
        <f>+COUNTIF(desglose!G:G,'pruebas de bondad de ajuste'!$A38)</f>
        <v>0</v>
      </c>
      <c r="D38">
        <f>+COUNTIF(desglose!Q:Q,'pruebas de bondad de ajuste'!$A38)/'estadísticos descriptivos'!D$2</f>
        <v>0</v>
      </c>
      <c r="E38" s="4">
        <f>+COUNTIF(desglose!R:R,'pruebas de bondad de ajuste'!$A38)/'estadísticos descriptivos'!E$2</f>
        <v>0</v>
      </c>
      <c r="F38" s="3">
        <f>+_xlfn.POISSON.DIST($A38,'estadísticos descriptivos'!B$6,0)*'estadísticos descriptivos'!B$2</f>
        <v>5.6299084534920795E-25</v>
      </c>
      <c r="G38">
        <f>+_xlfn.POISSON.DIST($A38,'estadísticos descriptivos'!C$6,0)*'estadísticos descriptivos'!C$2</f>
        <v>2.3799428796722748E-50</v>
      </c>
      <c r="H38">
        <f>+_xlfn.POISSON.DIST($A38,'estadísticos descriptivos'!D$6,0)*'estadísticos descriptivos'!D$2</f>
        <v>2.2687773909787425E-29</v>
      </c>
      <c r="I38">
        <f>+_xlfn.POISSON.DIST($A38,'estadísticos descriptivos'!E$6,0)*'estadísticos descriptivos'!E$2</f>
        <v>4.6372400731341163E-43</v>
      </c>
      <c r="J38">
        <f t="shared" si="17"/>
        <v>5.6299084534920795E-25</v>
      </c>
      <c r="K38">
        <f t="shared" si="18"/>
        <v>2.3799428796722748E-50</v>
      </c>
      <c r="L38">
        <f t="shared" si="19"/>
        <v>2.2687773909787425E-29</v>
      </c>
      <c r="M38" s="4">
        <f t="shared" si="20"/>
        <v>4.6372400731341163E-43</v>
      </c>
      <c r="N38">
        <f>BINOMDIST($A38,90,'estadísticos descriptivos'!B$6/90,0)*'estadísticos descriptivos'!B$2</f>
        <v>1.080506377429606E-27</v>
      </c>
      <c r="O38">
        <f>BINOMDIST($A38,90,'estadísticos descriptivos'!C$6/90,0)*'estadísticos descriptivos'!C$2</f>
        <v>2.1009996903484353E-53</v>
      </c>
      <c r="P38">
        <f>BINOMDIST($A38,90,'estadísticos descriptivos'!D$6/90,0)*'estadísticos descriptivos'!D$2</f>
        <v>3.4362525137429005E-32</v>
      </c>
      <c r="Q38">
        <f>BINOMDIST($A38,90,'estadísticos descriptivos'!E$6/90,0)*'estadísticos descriptivos'!E$2</f>
        <v>4.5686377223811279E-46</v>
      </c>
      <c r="R38" s="3">
        <f t="shared" si="21"/>
        <v>1.080506377429606E-27</v>
      </c>
      <c r="S38">
        <f t="shared" si="22"/>
        <v>2.1009996903484353E-53</v>
      </c>
      <c r="T38">
        <f t="shared" si="23"/>
        <v>3.4362525137429005E-32</v>
      </c>
      <c r="U38">
        <f t="shared" si="24"/>
        <v>4.5686377223811279E-46</v>
      </c>
      <c r="V38" s="3">
        <f t="shared" si="30"/>
        <v>2.7189857821031487E-26</v>
      </c>
      <c r="W38">
        <f t="shared" si="31"/>
        <v>5.0066957309952446E-52</v>
      </c>
      <c r="X38">
        <f t="shared" si="32"/>
        <v>-3.0151479993937759E-7</v>
      </c>
      <c r="Y38" s="4">
        <f t="shared" si="33"/>
        <v>-2.8692150252070209E-54</v>
      </c>
      <c r="Z38">
        <f t="shared" si="25"/>
        <v>2.7189857821031487E-26</v>
      </c>
      <c r="AA38">
        <f t="shared" si="26"/>
        <v>5.0066957309952446E-52</v>
      </c>
      <c r="AB38">
        <f t="shared" si="27"/>
        <v>-3.0151479993937759E-7</v>
      </c>
      <c r="AC38" s="4">
        <f t="shared" si="28"/>
        <v>-2.8692150252070209E-54</v>
      </c>
    </row>
    <row r="39" spans="1:29">
      <c r="A39">
        <f t="shared" si="29"/>
        <v>35</v>
      </c>
      <c r="B39" s="3">
        <f>+COUNTIF(desglose!F:F,'pruebas de bondad de ajuste'!$A39)</f>
        <v>0</v>
      </c>
      <c r="C39">
        <f>+COUNTIF(desglose!G:G,'pruebas de bondad de ajuste'!$A39)</f>
        <v>0</v>
      </c>
      <c r="D39">
        <f>+COUNTIF(desglose!Q:Q,'pruebas de bondad de ajuste'!$A39)/'estadísticos descriptivos'!D$2</f>
        <v>0</v>
      </c>
      <c r="E39" s="4">
        <f>+COUNTIF(desglose!R:R,'pruebas de bondad de ajuste'!$A39)/'estadísticos descriptivos'!E$2</f>
        <v>0</v>
      </c>
      <c r="F39" s="3">
        <f>+_xlfn.POISSON.DIST($A39,'estadísticos descriptivos'!B$6,0)*'estadísticos descriptivos'!B$2</f>
        <v>4.0903008355983675E-26</v>
      </c>
      <c r="G39">
        <f>+_xlfn.POISSON.DIST($A39,'estadísticos descriptivos'!C$6,0)*'estadísticos descriptivos'!C$2</f>
        <v>2.9142157710272904E-52</v>
      </c>
      <c r="H39">
        <f>+_xlfn.POISSON.DIST($A39,'estadísticos descriptivos'!D$6,0)*'estadísticos descriptivos'!D$2</f>
        <v>1.2244195443377243E-30</v>
      </c>
      <c r="I39">
        <f>+_xlfn.POISSON.DIST($A39,'estadísticos descriptivos'!E$6,0)*'estadísticos descriptivos'!E$2</f>
        <v>9.5689080874196329E-45</v>
      </c>
      <c r="J39">
        <f t="shared" si="17"/>
        <v>4.0903008355983681E-26</v>
      </c>
      <c r="K39">
        <f t="shared" si="18"/>
        <v>2.9142157710272904E-52</v>
      </c>
      <c r="L39">
        <f t="shared" si="19"/>
        <v>1.2244195443377243E-30</v>
      </c>
      <c r="M39" s="4">
        <f t="shared" si="20"/>
        <v>9.5689080874196316E-45</v>
      </c>
      <c r="N39">
        <f>BINOMDIST($A39,90,'estadísticos descriptivos'!B$6/90,0)*'estadísticos descriptivos'!B$2</f>
        <v>5.0265961498195608E-29</v>
      </c>
      <c r="O39">
        <f>BINOMDIST($A39,90,'estadísticos descriptivos'!C$6/90,0)*'estadísticos descriptivos'!C$2</f>
        <v>1.6084208155777406E-55</v>
      </c>
      <c r="P39">
        <f>BINOMDIST($A39,90,'estadísticos descriptivos'!D$6/90,0)*'estadísticos descriptivos'!D$2</f>
        <v>1.1786389454452047E-33</v>
      </c>
      <c r="Q39">
        <f>BINOMDIST($A39,90,'estadísticos descriptivos'!E$6/90,0)*'estadísticos descriptivos'!E$2</f>
        <v>5.91335809741938E-48</v>
      </c>
      <c r="R39" s="3">
        <f t="shared" si="21"/>
        <v>5.0265961498195608E-29</v>
      </c>
      <c r="S39">
        <f t="shared" si="22"/>
        <v>1.6084208155777406E-55</v>
      </c>
      <c r="T39">
        <f t="shared" si="23"/>
        <v>1.1786389454452047E-33</v>
      </c>
      <c r="U39">
        <f t="shared" si="24"/>
        <v>5.91335809741938E-48</v>
      </c>
      <c r="V39" s="3">
        <f t="shared" si="30"/>
        <v>1.9851916313158229E-27</v>
      </c>
      <c r="W39">
        <f t="shared" si="31"/>
        <v>5.9603520607085622E-54</v>
      </c>
      <c r="X39">
        <f t="shared" si="32"/>
        <v>2.7126370629218233E-7</v>
      </c>
      <c r="Y39" s="4">
        <f t="shared" si="33"/>
        <v>9.9297144125061221E-56</v>
      </c>
      <c r="Z39">
        <f t="shared" si="25"/>
        <v>1.9851916313158229E-27</v>
      </c>
      <c r="AA39">
        <f t="shared" si="26"/>
        <v>5.9603520607085622E-54</v>
      </c>
      <c r="AB39">
        <f t="shared" si="27"/>
        <v>2.7126370629218233E-7</v>
      </c>
      <c r="AC39" s="4">
        <f t="shared" si="28"/>
        <v>9.9297144125061221E-56</v>
      </c>
    </row>
    <row r="40" spans="1:29">
      <c r="A40">
        <f t="shared" si="29"/>
        <v>36</v>
      </c>
      <c r="B40" s="3">
        <f>+COUNTIF(desglose!F:F,'pruebas de bondad de ajuste'!$A40)</f>
        <v>0</v>
      </c>
      <c r="C40">
        <f>+COUNTIF(desglose!G:G,'pruebas de bondad de ajuste'!$A40)</f>
        <v>0</v>
      </c>
      <c r="D40">
        <f>+COUNTIF(desglose!Q:Q,'pruebas de bondad de ajuste'!$A40)/'estadísticos descriptivos'!D$2</f>
        <v>0</v>
      </c>
      <c r="E40" s="4">
        <f>+COUNTIF(desglose!R:R,'pruebas de bondad de ajuste'!$A40)/'estadísticos descriptivos'!E$2</f>
        <v>0</v>
      </c>
      <c r="F40" s="3">
        <f>+_xlfn.POISSON.DIST($A40,'estadísticos descriptivos'!B$6,0)*'estadísticos descriptivos'!B$2</f>
        <v>2.8891807489544189E-27</v>
      </c>
      <c r="G40">
        <f>+_xlfn.POISSON.DIST($A40,'estadísticos descriptivos'!C$6,0)*'estadísticos descriptivos'!C$2</f>
        <v>3.469304489318154E-54</v>
      </c>
      <c r="H40">
        <f>+_xlfn.POISSON.DIST($A40,'estadísticos descriptivos'!D$6,0)*'estadísticos descriptivos'!D$2</f>
        <v>6.4244235351054022E-32</v>
      </c>
      <c r="I40">
        <f>+_xlfn.POISSON.DIST($A40,'estadísticos descriptivos'!E$6,0)*'estadísticos descriptivos'!E$2</f>
        <v>1.9196883508711954E-46</v>
      </c>
      <c r="J40">
        <f t="shared" si="17"/>
        <v>2.8891807489544189E-27</v>
      </c>
      <c r="K40">
        <f t="shared" si="18"/>
        <v>3.469304489318154E-54</v>
      </c>
      <c r="L40">
        <f t="shared" si="19"/>
        <v>6.4244235351054022E-32</v>
      </c>
      <c r="M40" s="4">
        <f t="shared" si="20"/>
        <v>1.9196883508711954E-46</v>
      </c>
      <c r="N40">
        <f>BINOMDIST($A40,90,'estadísticos descriptivos'!B$6/90,0)*'estadísticos descriptivos'!B$2</f>
        <v>2.2328567419295352E-30</v>
      </c>
      <c r="O40">
        <f>BINOMDIST($A40,90,'estadísticos descriptivos'!C$6/90,0)*'estadísticos descriptivos'!C$2</f>
        <v>1.1757462102177153E-57</v>
      </c>
      <c r="P40">
        <f>BINOMDIST($A40,90,'estadísticos descriptivos'!D$6/90,0)*'estadísticos descriptivos'!D$2</f>
        <v>3.8602613632874316E-35</v>
      </c>
      <c r="Q40">
        <f>BINOMDIST($A40,90,'estadísticos descriptivos'!E$6/90,0)*'estadísticos descriptivos'!E$2</f>
        <v>7.3083921725349427E-50</v>
      </c>
      <c r="R40" s="3">
        <f t="shared" si="21"/>
        <v>2.2328567419295355E-30</v>
      </c>
      <c r="S40">
        <f t="shared" si="22"/>
        <v>1.1757462102177153E-57</v>
      </c>
      <c r="T40">
        <f t="shared" si="23"/>
        <v>3.8602613632874316E-35</v>
      </c>
      <c r="U40">
        <f t="shared" si="24"/>
        <v>7.3083921725349427E-50</v>
      </c>
      <c r="V40" s="3">
        <f t="shared" si="30"/>
        <v>1.4116731881402098E-28</v>
      </c>
      <c r="W40">
        <f t="shared" si="31"/>
        <v>6.9038826958013491E-56</v>
      </c>
      <c r="X40">
        <f t="shared" si="32"/>
        <v>-2.4504143328407086E-7</v>
      </c>
      <c r="Y40" s="4">
        <f t="shared" si="33"/>
        <v>-3.4976643939047273E-57</v>
      </c>
      <c r="Z40">
        <f t="shared" si="25"/>
        <v>1.4116731881402098E-28</v>
      </c>
      <c r="AA40">
        <f t="shared" si="26"/>
        <v>6.9038826958013491E-56</v>
      </c>
      <c r="AB40">
        <f t="shared" si="27"/>
        <v>-2.4504143328407086E-7</v>
      </c>
      <c r="AC40" s="4">
        <f t="shared" si="28"/>
        <v>-3.4976643939047273E-57</v>
      </c>
    </row>
    <row r="41" spans="1:29">
      <c r="A41">
        <f t="shared" si="29"/>
        <v>37</v>
      </c>
      <c r="B41" s="3">
        <f>+COUNTIF(desglose!F:F,'pruebas de bondad de ajuste'!$A41)</f>
        <v>0</v>
      </c>
      <c r="C41">
        <f>+COUNTIF(desglose!G:G,'pruebas de bondad de ajuste'!$A41)</f>
        <v>0</v>
      </c>
      <c r="D41">
        <f>+COUNTIF(desglose!Q:Q,'pruebas de bondad de ajuste'!$A41)/'estadísticos descriptivos'!D$2</f>
        <v>0</v>
      </c>
      <c r="E41" s="4">
        <f>+COUNTIF(desglose!R:R,'pruebas de bondad de ajuste'!$A41)/'estadísticos descriptivos'!E$2</f>
        <v>0</v>
      </c>
      <c r="F41" s="3">
        <f>+_xlfn.POISSON.DIST($A41,'estadísticos descriptivos'!B$6,0)*'estadísticos descriptivos'!B$2</f>
        <v>1.9856145687794783E-28</v>
      </c>
      <c r="G41">
        <f>+_xlfn.POISSON.DIST($A41,'estadísticos descriptivos'!C$6,0)*'estadísticos descriptivos'!C$2</f>
        <v>4.0184994084767322E-56</v>
      </c>
      <c r="H41">
        <f>+_xlfn.POISSON.DIST($A41,'estadísticos descriptivos'!D$6,0)*'estadísticos descriptivos'!D$2</f>
        <v>3.2797357386423748E-33</v>
      </c>
      <c r="I41">
        <f>+_xlfn.POISSON.DIST($A41,'estadísticos descriptivos'!E$6,0)*'estadísticos descriptivos'!E$2</f>
        <v>3.7471394236225577E-48</v>
      </c>
      <c r="J41">
        <f t="shared" si="17"/>
        <v>1.9856145687794783E-28</v>
      </c>
      <c r="K41">
        <f t="shared" si="18"/>
        <v>4.0184994084767327E-56</v>
      </c>
      <c r="L41">
        <f t="shared" si="19"/>
        <v>3.2797357386423748E-33</v>
      </c>
      <c r="M41" s="4">
        <f t="shared" si="20"/>
        <v>3.7471394236225577E-48</v>
      </c>
      <c r="N41">
        <f>BINOMDIST($A41,90,'estadísticos descriptivos'!B$6/90,0)*'estadísticos descriptivos'!B$2</f>
        <v>9.4750077273045355E-32</v>
      </c>
      <c r="O41">
        <f>BINOMDIST($A41,90,'estadísticos descriptivos'!C$6/90,0)*'estadísticos descriptivos'!C$2</f>
        <v>8.2103058776349562E-60</v>
      </c>
      <c r="P41">
        <f>BINOMDIST($A41,90,'estadísticos descriptivos'!D$6/90,0)*'estadísticos descriptivos'!D$2</f>
        <v>1.2077706729483644E-36</v>
      </c>
      <c r="Q41">
        <f>BINOMDIST($A41,90,'estadísticos descriptivos'!E$6/90,0)*'estadísticos descriptivos'!E$2</f>
        <v>8.6286202343117738E-52</v>
      </c>
      <c r="R41" s="3">
        <f t="shared" si="21"/>
        <v>9.4750077273045355E-32</v>
      </c>
      <c r="S41">
        <f t="shared" si="22"/>
        <v>8.2103058776349562E-60</v>
      </c>
      <c r="T41">
        <f t="shared" si="23"/>
        <v>1.2077706729483644E-36</v>
      </c>
      <c r="U41">
        <f t="shared" si="24"/>
        <v>8.6286202343117738E-52</v>
      </c>
      <c r="V41" s="3">
        <f t="shared" si="30"/>
        <v>9.784058545009318E-30</v>
      </c>
      <c r="W41">
        <f t="shared" si="31"/>
        <v>7.7863338674450446E-58</v>
      </c>
      <c r="X41">
        <f t="shared" si="32"/>
        <v>2.2220440324034097E-7</v>
      </c>
      <c r="Y41" s="4">
        <f t="shared" si="33"/>
        <v>1.2524513859088306E-58</v>
      </c>
      <c r="Z41">
        <f t="shared" si="25"/>
        <v>9.784058545009318E-30</v>
      </c>
      <c r="AA41">
        <f t="shared" si="26"/>
        <v>7.7863338674450446E-58</v>
      </c>
      <c r="AB41">
        <f t="shared" si="27"/>
        <v>2.2220440324034097E-7</v>
      </c>
      <c r="AC41" s="4">
        <f t="shared" si="28"/>
        <v>1.2524513859088306E-58</v>
      </c>
    </row>
    <row r="42" spans="1:29">
      <c r="A42">
        <f t="shared" si="29"/>
        <v>38</v>
      </c>
      <c r="B42" s="3">
        <f>+COUNTIF(desglose!F:F,'pruebas de bondad de ajuste'!$A42)</f>
        <v>0</v>
      </c>
      <c r="C42">
        <f>+COUNTIF(desglose!G:G,'pruebas de bondad de ajuste'!$A42)</f>
        <v>0</v>
      </c>
      <c r="D42">
        <f>+COUNTIF(desglose!Q:Q,'pruebas de bondad de ajuste'!$A42)/'estadísticos descriptivos'!D$2</f>
        <v>0</v>
      </c>
      <c r="E42" s="4">
        <f>+COUNTIF(desglose!R:R,'pruebas de bondad de ajuste'!$A42)/'estadísticos descriptivos'!E$2</f>
        <v>0</v>
      </c>
      <c r="F42" s="3">
        <f>+_xlfn.POISSON.DIST($A42,'estadísticos descriptivos'!B$6,0)*'estadísticos descriptivos'!B$2</f>
        <v>1.3287195234689813E-29</v>
      </c>
      <c r="G42">
        <f>+_xlfn.POISSON.DIST($A42,'estadísticos descriptivos'!C$6,0)*'estadísticos descriptivos'!C$2</f>
        <v>4.5321421900112539E-58</v>
      </c>
      <c r="H42">
        <f>+_xlfn.POISSON.DIST($A42,'estadísticos descriptivos'!D$6,0)*'estadísticos descriptivos'!D$2</f>
        <v>1.6302779987403644E-34</v>
      </c>
      <c r="I42">
        <f>+_xlfn.POISSON.DIST($A42,'estadísticos descriptivos'!E$6,0)*'estadísticos descriptivos'!E$2</f>
        <v>7.1217562144871447E-50</v>
      </c>
      <c r="J42">
        <f t="shared" si="17"/>
        <v>1.3287195234689813E-29</v>
      </c>
      <c r="K42">
        <f t="shared" si="18"/>
        <v>4.5321421900112532E-58</v>
      </c>
      <c r="L42">
        <f t="shared" si="19"/>
        <v>1.6302779987403644E-34</v>
      </c>
      <c r="M42" s="4">
        <f t="shared" si="20"/>
        <v>7.1217562144871447E-50</v>
      </c>
      <c r="N42">
        <f>BINOMDIST($A42,90,'estadísticos descriptivos'!B$6/90,0)*'estadísticos descriptivos'!B$2</f>
        <v>3.8423641611526197E-33</v>
      </c>
      <c r="O42">
        <f>BINOMDIST($A42,90,'estadísticos descriptivos'!C$6/90,0)*'estadísticos descriptivos'!C$2</f>
        <v>5.4790507619576241E-62</v>
      </c>
      <c r="P42">
        <f>BINOMDIST($A42,90,'estadísticos descriptivos'!D$6/90,0)*'estadísticos descriptivos'!D$2</f>
        <v>3.6112078593166037E-38</v>
      </c>
      <c r="Q42">
        <f>BINOMDIST($A42,90,'estadísticos descriptivos'!E$6/90,0)*'estadísticos descriptivos'!E$2</f>
        <v>9.735563720304009E-54</v>
      </c>
      <c r="R42" s="3">
        <f t="shared" si="21"/>
        <v>3.8423641611526197E-33</v>
      </c>
      <c r="S42">
        <f t="shared" si="22"/>
        <v>5.4790507619576241E-62</v>
      </c>
      <c r="T42">
        <f t="shared" si="23"/>
        <v>3.6112078593166037E-38</v>
      </c>
      <c r="U42">
        <f t="shared" si="24"/>
        <v>9.735563720304009E-54</v>
      </c>
      <c r="V42" s="3">
        <f t="shared" si="30"/>
        <v>6.6138979862161389E-31</v>
      </c>
      <c r="W42">
        <f t="shared" si="31"/>
        <v>8.5564108433461051E-60</v>
      </c>
      <c r="X42">
        <f t="shared" si="32"/>
        <v>-2.0222731702951549E-7</v>
      </c>
      <c r="Y42" s="4">
        <f t="shared" si="33"/>
        <v>-4.5541979469619303E-60</v>
      </c>
      <c r="Z42">
        <f t="shared" si="25"/>
        <v>6.6138979862161389E-31</v>
      </c>
      <c r="AA42">
        <f t="shared" si="26"/>
        <v>8.5564108433461051E-60</v>
      </c>
      <c r="AB42">
        <f t="shared" si="27"/>
        <v>-2.0222731702951549E-7</v>
      </c>
      <c r="AC42" s="4">
        <f t="shared" si="28"/>
        <v>-4.5541979469619303E-60</v>
      </c>
    </row>
    <row r="43" spans="1:29">
      <c r="A43">
        <f t="shared" si="29"/>
        <v>39</v>
      </c>
      <c r="B43" s="3">
        <f>+COUNTIF(desglose!F:F,'pruebas de bondad de ajuste'!$A43)</f>
        <v>0</v>
      </c>
      <c r="C43">
        <f>+COUNTIF(desglose!G:G,'pruebas de bondad de ajuste'!$A43)</f>
        <v>0</v>
      </c>
      <c r="D43">
        <f>+COUNTIF(desglose!Q:Q,'pruebas de bondad de ajuste'!$A43)/'estadísticos descriptivos'!D$2</f>
        <v>0</v>
      </c>
      <c r="E43" s="4">
        <f>+COUNTIF(desglose!R:R,'pruebas de bondad de ajuste'!$A43)/'estadísticos descriptivos'!E$2</f>
        <v>0</v>
      </c>
      <c r="F43" s="3">
        <f>+_xlfn.POISSON.DIST($A43,'estadísticos descriptivos'!B$6,0)*'estadísticos descriptivos'!B$2</f>
        <v>8.663445977196989E-31</v>
      </c>
      <c r="G43">
        <f>+_xlfn.POISSON.DIST($A43,'estadísticos descriptivos'!C$6,0)*'estadísticos descriptivos'!C$2</f>
        <v>4.980376032979427E-60</v>
      </c>
      <c r="H43">
        <f>+_xlfn.POISSON.DIST($A43,'estadísticos descriptivos'!D$6,0)*'estadísticos descriptivos'!D$2</f>
        <v>7.895933327232479E-36</v>
      </c>
      <c r="I43">
        <f>+_xlfn.POISSON.DIST($A43,'estadísticos descriptivos'!E$6,0)*'estadísticos descriptivos'!E$2</f>
        <v>1.3188437434235569E-51</v>
      </c>
      <c r="J43">
        <f t="shared" si="17"/>
        <v>8.663445977196989E-31</v>
      </c>
      <c r="K43">
        <f t="shared" si="18"/>
        <v>4.980376032979427E-60</v>
      </c>
      <c r="L43">
        <f t="shared" si="19"/>
        <v>7.895933327232479E-36</v>
      </c>
      <c r="M43" s="4">
        <f t="shared" si="20"/>
        <v>1.3188437434235569E-51</v>
      </c>
      <c r="N43">
        <f>BINOMDIST($A43,90,'estadísticos descriptivos'!B$6/90,0)*'estadísticos descriptivos'!B$2</f>
        <v>1.4895803564961116E-34</v>
      </c>
      <c r="O43">
        <f>BINOMDIST($A43,90,'estadísticos descriptivos'!C$6/90,0)*'estadísticos descriptivos'!C$2</f>
        <v>3.4954071846619923E-64</v>
      </c>
      <c r="P43">
        <f>BINOMDIST($A43,90,'estadísticos descriptivos'!D$6/90,0)*'estadísticos descriptivos'!D$2</f>
        <v>1.0322073746680559E-39</v>
      </c>
      <c r="Q43">
        <f>BINOMDIST($A43,90,'estadísticos descriptivos'!E$6/90,0)*'estadísticos descriptivos'!E$2</f>
        <v>1.0500919175602818E-55</v>
      </c>
      <c r="R43" s="3">
        <f t="shared" si="21"/>
        <v>1.4895803564961116E-34</v>
      </c>
      <c r="S43">
        <f t="shared" si="22"/>
        <v>3.4954071846619923E-64</v>
      </c>
      <c r="T43">
        <f t="shared" si="23"/>
        <v>1.0322073746680559E-39</v>
      </c>
      <c r="U43">
        <f t="shared" si="24"/>
        <v>1.0500919175602818E-55</v>
      </c>
      <c r="V43" s="3">
        <f t="shared" si="30"/>
        <v>4.3634972414287903E-32</v>
      </c>
      <c r="W43">
        <f t="shared" si="31"/>
        <v>9.1675830464421492E-62</v>
      </c>
      <c r="X43">
        <f t="shared" si="32"/>
        <v>1.8467879632640659E-7</v>
      </c>
      <c r="Y43" s="4">
        <f t="shared" si="33"/>
        <v>1.6799809146455109E-61</v>
      </c>
      <c r="Z43">
        <f t="shared" si="25"/>
        <v>4.3634972414287903E-32</v>
      </c>
      <c r="AA43">
        <f t="shared" si="26"/>
        <v>9.1675830464421492E-62</v>
      </c>
      <c r="AB43">
        <f t="shared" si="27"/>
        <v>1.8467879632640659E-7</v>
      </c>
      <c r="AC43" s="4">
        <f t="shared" si="28"/>
        <v>1.6799809146455109E-61</v>
      </c>
    </row>
    <row r="44" spans="1:29">
      <c r="A44">
        <f t="shared" si="29"/>
        <v>40</v>
      </c>
      <c r="B44" s="3">
        <f>+COUNTIF(desglose!F:F,'pruebas de bondad de ajuste'!$A44)</f>
        <v>0</v>
      </c>
      <c r="C44">
        <f>+COUNTIF(desglose!G:G,'pruebas de bondad de ajuste'!$A44)</f>
        <v>0</v>
      </c>
      <c r="D44">
        <f>+COUNTIF(desglose!Q:Q,'pruebas de bondad de ajuste'!$A44)/'estadísticos descriptivos'!D$2</f>
        <v>0</v>
      </c>
      <c r="E44" s="4">
        <f>+COUNTIF(desglose!R:R,'pruebas de bondad de ajuste'!$A44)/'estadísticos descriptivos'!E$2</f>
        <v>0</v>
      </c>
      <c r="F44" s="3">
        <f>+_xlfn.POISSON.DIST($A44,'estadísticos descriptivos'!B$6,0)*'estadísticos descriptivos'!B$2</f>
        <v>5.5074763712180337E-32</v>
      </c>
      <c r="G44">
        <f>+_xlfn.POISSON.DIST($A44,'estadísticos descriptivos'!C$6,0)*'estadísticos descriptivos'!C$2</f>
        <v>5.3361171781922137E-62</v>
      </c>
      <c r="H44">
        <f>+_xlfn.POISSON.DIST($A44,'estadísticos descriptivos'!D$6,0)*'estadísticos descriptivos'!D$2</f>
        <v>3.7286351823042296E-37</v>
      </c>
      <c r="I44">
        <f>+_xlfn.POISSON.DIST($A44,'estadísticos descriptivos'!E$6,0)*'estadísticos descriptivos'!E$2</f>
        <v>2.3812456478480699E-53</v>
      </c>
      <c r="J44">
        <f t="shared" si="17"/>
        <v>5.5074763712180337E-32</v>
      </c>
      <c r="K44">
        <f t="shared" si="18"/>
        <v>5.3361171781922137E-62</v>
      </c>
      <c r="L44">
        <f t="shared" si="19"/>
        <v>3.7286351823042296E-37</v>
      </c>
      <c r="M44" s="4">
        <f t="shared" si="20"/>
        <v>2.3812456478480699E-53</v>
      </c>
      <c r="N44">
        <f>BINOMDIST($A44,90,'estadísticos descriptivos'!B$6/90,0)*'estadísticos descriptivos'!B$2</f>
        <v>5.5220558952431341E-36</v>
      </c>
      <c r="O44">
        <f>BINOMDIST($A44,90,'estadísticos descriptivos'!C$6/90,0)*'estadísticos descriptivos'!C$2</f>
        <v>2.1323656270067357E-66</v>
      </c>
      <c r="P44">
        <f>BINOMDIST($A44,90,'estadísticos descriptivos'!D$6/90,0)*'estadísticos descriptivos'!D$2</f>
        <v>2.8213234358045275E-41</v>
      </c>
      <c r="Q44">
        <f>BINOMDIST($A44,90,'estadísticos descriptivos'!E$6/90,0)*'estadísticos descriptivos'!E$2</f>
        <v>1.0830910724058204E-57</v>
      </c>
      <c r="R44" s="3">
        <f t="shared" si="21"/>
        <v>5.5220558952431341E-36</v>
      </c>
      <c r="S44">
        <f t="shared" si="22"/>
        <v>2.1323656270067357E-66</v>
      </c>
      <c r="T44">
        <f t="shared" si="23"/>
        <v>2.8213234358045275E-41</v>
      </c>
      <c r="U44">
        <f t="shared" si="24"/>
        <v>1.0830910724058204E-57</v>
      </c>
      <c r="V44" s="3">
        <f t="shared" si="30"/>
        <v>2.8113943602749686E-33</v>
      </c>
      <c r="W44">
        <f t="shared" si="31"/>
        <v>9.5828394213679842E-64</v>
      </c>
      <c r="X44">
        <f t="shared" si="32"/>
        <v>-1.6920254542619575E-7</v>
      </c>
      <c r="Y44" s="4">
        <f t="shared" si="33"/>
        <v>-6.2813305939761234E-63</v>
      </c>
      <c r="Z44">
        <f t="shared" si="25"/>
        <v>2.8113943602749686E-33</v>
      </c>
      <c r="AA44">
        <f t="shared" si="26"/>
        <v>9.5828394213679842E-64</v>
      </c>
      <c r="AB44">
        <f t="shared" si="27"/>
        <v>-1.6920254542619575E-7</v>
      </c>
      <c r="AC44" s="4">
        <f t="shared" si="28"/>
        <v>-6.2813305939761234E-63</v>
      </c>
    </row>
    <row r="45" spans="1:29">
      <c r="A45">
        <f t="shared" si="29"/>
        <v>41</v>
      </c>
      <c r="B45" s="3">
        <f>+COUNTIF(desglose!F:F,'pruebas de bondad de ajuste'!$A45)</f>
        <v>0</v>
      </c>
      <c r="C45">
        <f>+COUNTIF(desglose!G:G,'pruebas de bondad de ajuste'!$A45)</f>
        <v>0</v>
      </c>
      <c r="D45">
        <f>+COUNTIF(desglose!Q:Q,'pruebas de bondad de ajuste'!$A45)/'estadísticos descriptivos'!D$2</f>
        <v>0</v>
      </c>
      <c r="E45" s="4">
        <f>+COUNTIF(desglose!R:R,'pruebas de bondad de ajuste'!$A45)/'estadísticos descriptivos'!E$2</f>
        <v>0</v>
      </c>
      <c r="F45" s="3">
        <f>+_xlfn.POISSON.DIST($A45,'estadísticos descriptivos'!B$6,0)*'estadísticos descriptivos'!B$2</f>
        <v>3.4157867389435508E-33</v>
      </c>
      <c r="G45">
        <f>+_xlfn.POISSON.DIST($A45,'estadísticos descriptivos'!C$6,0)*'estadísticos descriptivos'!C$2</f>
        <v>5.5778228343472716E-64</v>
      </c>
      <c r="H45">
        <f>+_xlfn.POISSON.DIST($A45,'estadísticos descriptivos'!D$6,0)*'estadísticos descriptivos'!D$2</f>
        <v>1.7177994064815976E-38</v>
      </c>
      <c r="I45">
        <f>+_xlfn.POISSON.DIST($A45,'estadísticos descriptivos'!E$6,0)*'estadísticos descriptivos'!E$2</f>
        <v>4.1946061547459508E-55</v>
      </c>
      <c r="J45">
        <f t="shared" si="17"/>
        <v>3.4157867389435508E-33</v>
      </c>
      <c r="K45">
        <f t="shared" si="18"/>
        <v>5.5778228343472716E-64</v>
      </c>
      <c r="L45">
        <f t="shared" si="19"/>
        <v>1.7177994064815974E-38</v>
      </c>
      <c r="M45" s="4">
        <f t="shared" si="20"/>
        <v>4.1946061547459508E-55</v>
      </c>
      <c r="N45">
        <f>BINOMDIST($A45,90,'estadísticos descriptivos'!B$6/90,0)*'estadísticos descriptivos'!B$2</f>
        <v>1.958004217801602E-37</v>
      </c>
      <c r="O45">
        <f>BINOMDIST($A45,90,'estadísticos descriptivos'!C$6/90,0)*'estadísticos descriptivos'!C$2</f>
        <v>1.2442324816237058E-68</v>
      </c>
      <c r="P45">
        <f>BINOMDIST($A45,90,'estadísticos descriptivos'!D$6/90,0)*'estadísticos descriptivos'!D$2</f>
        <v>7.3758955508068857E-43</v>
      </c>
      <c r="Q45">
        <f>BINOMDIST($A45,90,'estadísticos descriptivos'!E$6/90,0)*'estadísticos descriptivos'!E$2</f>
        <v>1.0685100202829118E-59</v>
      </c>
      <c r="R45" s="3">
        <f t="shared" si="21"/>
        <v>1.958004217801602E-37</v>
      </c>
      <c r="S45">
        <f t="shared" si="22"/>
        <v>1.2442324816237058E-68</v>
      </c>
      <c r="T45">
        <f t="shared" si="23"/>
        <v>7.3758955508068857E-43</v>
      </c>
      <c r="U45">
        <f t="shared" si="24"/>
        <v>1.0685100202829118E-59</v>
      </c>
      <c r="V45" s="3">
        <f t="shared" si="30"/>
        <v>1.7700139193427983E-34</v>
      </c>
      <c r="W45">
        <f t="shared" si="31"/>
        <v>9.7784075728243528E-66</v>
      </c>
      <c r="X45">
        <f t="shared" si="32"/>
        <v>1.5550267467535289E-7</v>
      </c>
      <c r="Y45" s="4">
        <f t="shared" si="33"/>
        <v>2.378496806647877E-64</v>
      </c>
      <c r="Z45">
        <f t="shared" si="25"/>
        <v>1.7700139193427983E-34</v>
      </c>
      <c r="AA45">
        <f t="shared" si="26"/>
        <v>9.7784075728243528E-66</v>
      </c>
      <c r="AB45">
        <f t="shared" si="27"/>
        <v>1.5550267467535289E-7</v>
      </c>
      <c r="AC45" s="4">
        <f t="shared" si="28"/>
        <v>2.378496806647877E-64</v>
      </c>
    </row>
    <row r="46" spans="1:29">
      <c r="A46">
        <f t="shared" si="29"/>
        <v>42</v>
      </c>
      <c r="B46" s="3">
        <f>+COUNTIF(desglose!F:F,'pruebas de bondad de ajuste'!$A46)</f>
        <v>0</v>
      </c>
      <c r="C46">
        <f>+COUNTIF(desglose!G:G,'pruebas de bondad de ajuste'!$A46)</f>
        <v>0</v>
      </c>
      <c r="D46">
        <f>+COUNTIF(desglose!Q:Q,'pruebas de bondad de ajuste'!$A46)/'estadísticos descriptivos'!D$2</f>
        <v>0</v>
      </c>
      <c r="E46" s="4">
        <f>+COUNTIF(desglose!R:R,'pruebas de bondad de ajuste'!$A46)/'estadísticos descriptivos'!E$2</f>
        <v>0</v>
      </c>
      <c r="F46" s="3">
        <f>+_xlfn.POISSON.DIST($A46,'estadísticos descriptivos'!B$6,0)*'estadísticos descriptivos'!B$2</f>
        <v>2.0680613589522377E-34</v>
      </c>
      <c r="G46">
        <f>+_xlfn.POISSON.DIST($A46,'estadísticos descriptivos'!C$6,0)*'estadísticos descriptivos'!C$2</f>
        <v>5.6916559534156323E-66</v>
      </c>
      <c r="H46">
        <f>+_xlfn.POISSON.DIST($A46,'estadísticos descriptivos'!D$6,0)*'estadísticos descriptivos'!D$2</f>
        <v>7.7255528862931665E-40</v>
      </c>
      <c r="I46">
        <f>+_xlfn.POISSON.DIST($A46,'estadísticos descriptivos'!E$6,0)*'estadísticos descriptivos'!E$2</f>
        <v>7.2129470914943938E-57</v>
      </c>
      <c r="J46">
        <f t="shared" si="17"/>
        <v>2.0680613589522377E-34</v>
      </c>
      <c r="K46">
        <f t="shared" si="18"/>
        <v>5.6916559534156323E-66</v>
      </c>
      <c r="L46">
        <f t="shared" si="19"/>
        <v>7.7255528862931665E-40</v>
      </c>
      <c r="M46" s="4">
        <f t="shared" si="20"/>
        <v>7.2129470914943938E-57</v>
      </c>
      <c r="N46">
        <f>BINOMDIST($A46,90,'estadísticos descriptivos'!B$6/90,0)*'estadísticos descriptivos'!B$2</f>
        <v>6.6418198175453824E-39</v>
      </c>
      <c r="O46">
        <f>BINOMDIST($A46,90,'estadísticos descriptivos'!C$6/90,0)*'estadísticos descriptivos'!C$2</f>
        <v>6.9454763727001603E-71</v>
      </c>
      <c r="P46">
        <f>BINOMDIST($A46,90,'estadísticos descriptivos'!D$6/90,0)*'estadísticos descriptivos'!D$2</f>
        <v>1.8447489923203764E-44</v>
      </c>
      <c r="Q46">
        <f>BINOMDIST($A46,90,'estadísticos descriptivos'!E$6/90,0)*'estadísticos descriptivos'!E$2</f>
        <v>1.0084465032746741E-61</v>
      </c>
      <c r="R46" s="3">
        <f t="shared" si="21"/>
        <v>6.6418198175453824E-39</v>
      </c>
      <c r="S46">
        <f t="shared" si="22"/>
        <v>6.9454763727001603E-71</v>
      </c>
      <c r="T46">
        <f t="shared" si="23"/>
        <v>1.8447489923203764E-44</v>
      </c>
      <c r="U46">
        <f t="shared" si="24"/>
        <v>1.0084465032746741E-61</v>
      </c>
      <c r="V46" s="3">
        <f t="shared" si="30"/>
        <v>1.0895452695921475E-35</v>
      </c>
      <c r="W46">
        <f t="shared" si="31"/>
        <v>9.7459211689278038E-68</v>
      </c>
      <c r="X46">
        <f t="shared" si="32"/>
        <v>-1.433321865620456E-7</v>
      </c>
      <c r="Y46" s="4">
        <f t="shared" si="33"/>
        <v>-9.1145863187630118E-66</v>
      </c>
      <c r="Z46">
        <f t="shared" si="25"/>
        <v>1.0895452695921477E-35</v>
      </c>
      <c r="AA46">
        <f t="shared" si="26"/>
        <v>9.7459211689278038E-68</v>
      </c>
      <c r="AB46">
        <f t="shared" si="27"/>
        <v>-1.433321865620456E-7</v>
      </c>
      <c r="AC46" s="4">
        <f t="shared" si="28"/>
        <v>-9.1145863187630118E-66</v>
      </c>
    </row>
    <row r="47" spans="1:29">
      <c r="A47">
        <f t="shared" si="29"/>
        <v>43</v>
      </c>
      <c r="B47" s="3">
        <f>+COUNTIF(desglose!F:F,'pruebas de bondad de ajuste'!$A47)</f>
        <v>0</v>
      </c>
      <c r="C47">
        <f>+COUNTIF(desglose!G:G,'pruebas de bondad de ajuste'!$A47)</f>
        <v>0</v>
      </c>
      <c r="D47">
        <f>+COUNTIF(desglose!Q:Q,'pruebas de bondad de ajuste'!$A47)/'estadísticos descriptivos'!D$2</f>
        <v>0</v>
      </c>
      <c r="E47" s="4">
        <f>+COUNTIF(desglose!R:R,'pruebas de bondad de ajuste'!$A47)/'estadísticos descriptivos'!E$2</f>
        <v>0</v>
      </c>
      <c r="F47" s="3">
        <f>+_xlfn.POISSON.DIST($A47,'estadísticos descriptivos'!B$6,0)*'estadísticos descriptivos'!B$2</f>
        <v>1.2229731624368845E-35</v>
      </c>
      <c r="G47">
        <f>+_xlfn.POISSON.DIST($A47,'estadísticos descriptivos'!C$6,0)*'estadísticos descriptivos'!C$2</f>
        <v>5.6727467974241161E-68</v>
      </c>
      <c r="H47">
        <f>+_xlfn.POISSON.DIST($A47,'estadísticos descriptivos'!D$6,0)*'estadísticos descriptivos'!D$2</f>
        <v>3.3936537226610086E-41</v>
      </c>
      <c r="I47">
        <f>+_xlfn.POISSON.DIST($A47,'estadísticos descriptivos'!E$6,0)*'estadísticos descriptivos'!E$2</f>
        <v>1.2114769016721603E-58</v>
      </c>
      <c r="J47">
        <f t="shared" si="17"/>
        <v>1.2229731624368845E-35</v>
      </c>
      <c r="K47">
        <f t="shared" si="18"/>
        <v>5.6727467974241161E-68</v>
      </c>
      <c r="L47">
        <f t="shared" si="19"/>
        <v>3.3936537226610086E-41</v>
      </c>
      <c r="M47" s="4">
        <f t="shared" si="20"/>
        <v>1.2114769016721603E-58</v>
      </c>
      <c r="N47">
        <f>BINOMDIST($A47,90,'estadísticos descriptivos'!B$6/90,0)*'estadísticos descriptivos'!B$2</f>
        <v>2.15569119838893E-40</v>
      </c>
      <c r="O47">
        <f>BINOMDIST($A47,90,'estadísticos descriptivos'!C$6/90,0)*'estadísticos descriptivos'!C$2</f>
        <v>3.7096123944540897E-73</v>
      </c>
      <c r="P47">
        <f>BINOMDIST($A47,90,'estadísticos descriptivos'!D$6/90,0)*'estadísticos descriptivos'!D$2</f>
        <v>4.4145434697012352E-46</v>
      </c>
      <c r="Q47">
        <f>BINOMDIST($A47,90,'estadísticos descriptivos'!E$6/90,0)*'estadísticos descriptivos'!E$2</f>
        <v>9.1065341752421061E-64</v>
      </c>
      <c r="R47" s="3">
        <f t="shared" si="21"/>
        <v>2.15569119838893E-40</v>
      </c>
      <c r="S47">
        <f t="shared" si="22"/>
        <v>3.7096123944540897E-73</v>
      </c>
      <c r="T47">
        <f t="shared" si="23"/>
        <v>4.4145434697012352E-46</v>
      </c>
      <c r="U47">
        <f t="shared" si="24"/>
        <v>9.1065341752421061E-64</v>
      </c>
      <c r="V47" s="3">
        <f t="shared" si="30"/>
        <v>6.5608797220425868E-37</v>
      </c>
      <c r="W47">
        <f t="shared" si="31"/>
        <v>9.4927803593451418E-70</v>
      </c>
      <c r="X47">
        <f t="shared" si="32"/>
        <v>1.3248388335376451E-7</v>
      </c>
      <c r="Y47" s="4">
        <f t="shared" si="33"/>
        <v>3.5323372018549532E-67</v>
      </c>
      <c r="Z47">
        <f t="shared" si="25"/>
        <v>6.5608797220425868E-37</v>
      </c>
      <c r="AA47">
        <f t="shared" si="26"/>
        <v>9.4927803593451418E-70</v>
      </c>
      <c r="AB47">
        <f t="shared" si="27"/>
        <v>1.3248388335376451E-7</v>
      </c>
      <c r="AC47" s="4">
        <f t="shared" si="28"/>
        <v>3.5323372018549532E-67</v>
      </c>
    </row>
    <row r="48" spans="1:29">
      <c r="A48">
        <f t="shared" si="29"/>
        <v>44</v>
      </c>
      <c r="B48" s="3">
        <f>+COUNTIF(desglose!F:F,'pruebas de bondad de ajuste'!$A48)</f>
        <v>0</v>
      </c>
      <c r="C48">
        <f>+COUNTIF(desglose!G:G,'pruebas de bondad de ajuste'!$A48)</f>
        <v>0</v>
      </c>
      <c r="D48">
        <f>+COUNTIF(desglose!Q:Q,'pruebas de bondad de ajuste'!$A48)/'estadísticos descriptivos'!D$2</f>
        <v>0</v>
      </c>
      <c r="E48" s="4">
        <f>+COUNTIF(desglose!R:R,'pruebas de bondad de ajuste'!$A48)/'estadísticos descriptivos'!E$2</f>
        <v>0</v>
      </c>
      <c r="F48" s="3">
        <f>+_xlfn.POISSON.DIST($A48,'estadísticos descriptivos'!B$6,0)*'estadísticos descriptivos'!B$2</f>
        <v>7.0678319127846018E-37</v>
      </c>
      <c r="G48">
        <f>+_xlfn.POISSON.DIST($A48,'estadísticos descriptivos'!C$6,0)*'estadísticos descriptivos'!C$2</f>
        <v>5.5254027247638128E-70</v>
      </c>
      <c r="H48">
        <f>+_xlfn.POISSON.DIST($A48,'estadísticos descriptivos'!D$6,0)*'estadísticos descriptivos'!D$2</f>
        <v>1.4568715476069954E-42</v>
      </c>
      <c r="I48">
        <f>+_xlfn.POISSON.DIST($A48,'estadísticos descriptivos'!E$6,0)*'estadísticos descriptivos'!E$2</f>
        <v>1.9885353184013058E-60</v>
      </c>
      <c r="J48">
        <f t="shared" si="17"/>
        <v>7.0678319127846018E-37</v>
      </c>
      <c r="K48">
        <f t="shared" si="18"/>
        <v>5.5254027247638128E-70</v>
      </c>
      <c r="L48">
        <f t="shared" si="19"/>
        <v>1.4568715476069954E-42</v>
      </c>
      <c r="M48" s="4">
        <f t="shared" si="20"/>
        <v>1.9885353184013058E-60</v>
      </c>
      <c r="N48">
        <f>BINOMDIST($A48,90,'estadísticos descriptivos'!B$6/90,0)*'estadísticos descriptivos'!B$2</f>
        <v>6.6951206400618717E-42</v>
      </c>
      <c r="O48">
        <f>BINOMDIST($A48,90,'estadísticos descriptivos'!C$6/90,0)*'estadísticos descriptivos'!C$2</f>
        <v>1.8959523982095311E-75</v>
      </c>
      <c r="P48">
        <f>BINOMDIST($A48,90,'estadísticos descriptivos'!D$6/90,0)*'estadísticos descriptivos'!D$2</f>
        <v>1.0108965471429845E-47</v>
      </c>
      <c r="Q48">
        <f>BINOMDIST($A48,90,'estadísticos descriptivos'!E$6/90,0)*'estadísticos descriptivos'!E$2</f>
        <v>7.8691129448900799E-66</v>
      </c>
      <c r="R48" s="3">
        <f t="shared" si="21"/>
        <v>6.6951206400618717E-42</v>
      </c>
      <c r="S48">
        <f t="shared" si="22"/>
        <v>1.8959523982095311E-75</v>
      </c>
      <c r="T48">
        <f t="shared" si="23"/>
        <v>1.0108965471429845E-47</v>
      </c>
      <c r="U48">
        <f t="shared" si="24"/>
        <v>7.8691129448900799E-66</v>
      </c>
      <c r="V48" s="3">
        <f t="shared" si="30"/>
        <v>3.8667939011577604E-38</v>
      </c>
      <c r="W48">
        <f t="shared" si="31"/>
        <v>9.0407431993762065E-72</v>
      </c>
      <c r="X48">
        <f t="shared" si="32"/>
        <v>-1.2278314204264126E-7</v>
      </c>
      <c r="Y48" s="4">
        <f t="shared" si="33"/>
        <v>-1.3835978489869555E-68</v>
      </c>
      <c r="Z48">
        <f t="shared" si="25"/>
        <v>3.8667939011577604E-38</v>
      </c>
      <c r="AA48">
        <f t="shared" si="26"/>
        <v>9.0407431993762065E-72</v>
      </c>
      <c r="AB48">
        <f t="shared" si="27"/>
        <v>-1.2278314204264126E-7</v>
      </c>
      <c r="AC48" s="4">
        <f t="shared" si="28"/>
        <v>-1.3835978489869555E-68</v>
      </c>
    </row>
    <row r="49" spans="1:29">
      <c r="A49">
        <f t="shared" si="29"/>
        <v>45</v>
      </c>
      <c r="B49" s="3">
        <f>+COUNTIF(desglose!F:F,'pruebas de bondad de ajuste'!$A49)</f>
        <v>0</v>
      </c>
      <c r="C49">
        <f>+COUNTIF(desglose!G:G,'pruebas de bondad de ajuste'!$A49)</f>
        <v>0</v>
      </c>
      <c r="D49">
        <f>+COUNTIF(desglose!Q:Q,'pruebas de bondad de ajuste'!$A49)/'estadísticos descriptivos'!D$2</f>
        <v>0</v>
      </c>
      <c r="E49" s="4">
        <f>+COUNTIF(desglose!R:R,'pruebas de bondad de ajuste'!$A49)/'estadísticos descriptivos'!E$2</f>
        <v>0</v>
      </c>
      <c r="F49" s="3">
        <f>+_xlfn.POISSON.DIST($A49,'estadísticos descriptivos'!B$6,0)*'estadísticos descriptivos'!B$2</f>
        <v>3.9938859697639631E-38</v>
      </c>
      <c r="G49">
        <f>+_xlfn.POISSON.DIST($A49,'estadísticos descriptivos'!C$6,0)*'estadísticos descriptivos'!C$2</f>
        <v>5.2622883092986692E-72</v>
      </c>
      <c r="H49">
        <f>+_xlfn.POISSON.DIST($A49,'estadísticos descriptivos'!D$6,0)*'estadísticos descriptivos'!D$2</f>
        <v>6.1152632862516857E-44</v>
      </c>
      <c r="I49">
        <f>+_xlfn.POISSON.DIST($A49,'estadísticos descriptivos'!E$6,0)*'estadísticos descriptivos'!E$2</f>
        <v>3.1914764369402339E-62</v>
      </c>
      <c r="J49">
        <f t="shared" si="17"/>
        <v>3.9938859697639631E-38</v>
      </c>
      <c r="K49">
        <f t="shared" si="18"/>
        <v>5.2622883092986692E-72</v>
      </c>
      <c r="L49">
        <f t="shared" si="19"/>
        <v>6.1152632862516857E-44</v>
      </c>
      <c r="M49" s="4">
        <f t="shared" si="20"/>
        <v>3.1914764369402344E-62</v>
      </c>
      <c r="N49">
        <f>BINOMDIST($A49,90,'estadísticos descriptivos'!B$6/90,0)*'estadísticos descriptivos'!B$2</f>
        <v>1.9898961051517577E-43</v>
      </c>
      <c r="O49">
        <f>BINOMDIST($A49,90,'estadísticos descriptivos'!C$6/90,0)*'estadísticos descriptivos'!C$2</f>
        <v>9.2731324101690418E-78</v>
      </c>
      <c r="P49">
        <f>BINOMDIST($A49,90,'estadísticos descriptivos'!D$6/90,0)*'estadísticos descriptivos'!D$2</f>
        <v>2.2152756056209167E-49</v>
      </c>
      <c r="Q49">
        <f>BINOMDIST($A49,90,'estadísticos descriptivos'!E$6/90,0)*'estadísticos descriptivos'!E$2</f>
        <v>6.5072661841168956E-68</v>
      </c>
      <c r="R49" s="3">
        <f t="shared" si="21"/>
        <v>1.9898961051517577E-43</v>
      </c>
      <c r="S49">
        <f t="shared" si="22"/>
        <v>9.2731324101690418E-78</v>
      </c>
      <c r="T49">
        <f t="shared" si="23"/>
        <v>2.2152756056209167E-49</v>
      </c>
      <c r="U49">
        <f t="shared" si="24"/>
        <v>6.5072661841168956E-68</v>
      </c>
      <c r="V49" s="3">
        <f t="shared" si="30"/>
        <v>2.2316506832523092E-39</v>
      </c>
      <c r="W49">
        <f t="shared" si="31"/>
        <v>8.4230526702261654E-74</v>
      </c>
      <c r="X49">
        <f t="shared" si="32"/>
        <v>1.1408213895103004E-7</v>
      </c>
      <c r="Y49" s="4">
        <f t="shared" si="33"/>
        <v>5.474362892086584E-70</v>
      </c>
      <c r="Z49">
        <f t="shared" si="25"/>
        <v>2.2316506832523092E-39</v>
      </c>
      <c r="AA49">
        <f t="shared" si="26"/>
        <v>8.4230526702261654E-74</v>
      </c>
      <c r="AB49">
        <f t="shared" si="27"/>
        <v>1.1408213895103004E-7</v>
      </c>
      <c r="AC49" s="4">
        <f t="shared" si="28"/>
        <v>5.474362892086584E-70</v>
      </c>
    </row>
    <row r="50" spans="1:29">
      <c r="A50">
        <f t="shared" si="29"/>
        <v>46</v>
      </c>
      <c r="B50" s="3">
        <f>+COUNTIF(desglose!F:F,'pruebas de bondad de ajuste'!$A50)</f>
        <v>0</v>
      </c>
      <c r="C50">
        <f>+COUNTIF(desglose!G:G,'pruebas de bondad de ajuste'!$A50)</f>
        <v>0</v>
      </c>
      <c r="D50">
        <f>+COUNTIF(desglose!Q:Q,'pruebas de bondad de ajuste'!$A50)/'estadísticos descriptivos'!D$2</f>
        <v>0</v>
      </c>
      <c r="E50" s="4">
        <f>+COUNTIF(desglose!R:R,'pruebas de bondad de ajuste'!$A50)/'estadísticos descriptivos'!E$2</f>
        <v>0</v>
      </c>
      <c r="F50" s="3">
        <f>+_xlfn.POISSON.DIST($A50,'estadísticos descriptivos'!B$6,0)*'estadísticos descriptivos'!B$2</f>
        <v>2.2078003186893652E-39</v>
      </c>
      <c r="G50">
        <f>+_xlfn.POISSON.DIST($A50,'estadísticos descriptivos'!C$6,0)*'estadísticos descriptivos'!C$2</f>
        <v>4.9027530831977309E-74</v>
      </c>
      <c r="H50">
        <f>+_xlfn.POISSON.DIST($A50,'estadísticos descriptivos'!D$6,0)*'estadísticos descriptivos'!D$2</f>
        <v>2.511098450876252E-45</v>
      </c>
      <c r="I50">
        <f>+_xlfn.POISSON.DIST($A50,'estadísticos descriptivos'!E$6,0)*'estadísticos descriptivos'!E$2</f>
        <v>5.0107721836020595E-64</v>
      </c>
      <c r="J50">
        <f t="shared" si="17"/>
        <v>2.2078003186893652E-39</v>
      </c>
      <c r="K50">
        <f t="shared" si="18"/>
        <v>4.9027530831977309E-74</v>
      </c>
      <c r="L50">
        <f t="shared" si="19"/>
        <v>2.5110984508762517E-45</v>
      </c>
      <c r="M50" s="4">
        <f t="shared" si="20"/>
        <v>5.0107721836020595E-64</v>
      </c>
      <c r="N50">
        <f>BINOMDIST($A50,90,'estadísticos descriptivos'!B$6/90,0)*'estadísticos descriptivos'!B$2</f>
        <v>5.6599391369207939E-45</v>
      </c>
      <c r="O50">
        <f>BINOMDIST($A50,90,'estadísticos descriptivos'!C$6/90,0)*'estadísticos descriptivos'!C$2</f>
        <v>4.3404509929019885E-80</v>
      </c>
      <c r="P50">
        <f>BINOMDIST($A50,90,'estadísticos descriptivos'!D$6/90,0)*'estadísticos descriptivos'!D$2</f>
        <v>4.6457750926585357E-51</v>
      </c>
      <c r="Q50">
        <f>BINOMDIST($A50,90,'estadísticos descriptivos'!E$6/90,0)*'estadísticos descriptivos'!E$2</f>
        <v>5.1496857737998733E-70</v>
      </c>
      <c r="R50" s="3">
        <f t="shared" si="21"/>
        <v>5.6599391369207939E-45</v>
      </c>
      <c r="S50">
        <f t="shared" si="22"/>
        <v>4.3404509929019885E-80</v>
      </c>
      <c r="T50">
        <f t="shared" si="23"/>
        <v>4.6457750926585357E-51</v>
      </c>
      <c r="U50">
        <f t="shared" si="24"/>
        <v>5.1496857737998726E-70</v>
      </c>
      <c r="V50" s="3">
        <f t="shared" si="30"/>
        <v>1.261805781507058E-40</v>
      </c>
      <c r="W50">
        <f t="shared" si="31"/>
        <v>7.6805951400237532E-76</v>
      </c>
      <c r="X50">
        <f t="shared" si="32"/>
        <v>-1.0625520699922383E-7</v>
      </c>
      <c r="Y50" s="4">
        <f t="shared" si="33"/>
        <v>-2.1867852719132818E-71</v>
      </c>
      <c r="Z50">
        <f t="shared" si="25"/>
        <v>1.261805781507058E-40</v>
      </c>
      <c r="AA50">
        <f t="shared" si="26"/>
        <v>7.6805951400237532E-76</v>
      </c>
      <c r="AB50">
        <f t="shared" si="27"/>
        <v>-1.0625520699922383E-7</v>
      </c>
      <c r="AC50" s="4">
        <f t="shared" si="28"/>
        <v>-2.1867852719132818E-71</v>
      </c>
    </row>
    <row r="51" spans="1:29">
      <c r="A51">
        <f t="shared" si="29"/>
        <v>47</v>
      </c>
      <c r="B51" s="3">
        <f>+COUNTIF(desglose!F:F,'pruebas de bondad de ajuste'!$A51)</f>
        <v>0</v>
      </c>
      <c r="C51">
        <f>+COUNTIF(desglose!G:G,'pruebas de bondad de ajuste'!$A51)</f>
        <v>0</v>
      </c>
      <c r="D51">
        <f>+COUNTIF(desglose!Q:Q,'pruebas de bondad de ajuste'!$A51)/'estadísticos descriptivos'!D$2</f>
        <v>0</v>
      </c>
      <c r="E51" s="4">
        <f>+COUNTIF(desglose!R:R,'pruebas de bondad de ajuste'!$A51)/'estadísticos descriptivos'!E$2</f>
        <v>0</v>
      </c>
      <c r="F51" s="3">
        <f>+_xlfn.POISSON.DIST($A51,'estadísticos descriptivos'!B$6,0)*'estadísticos descriptivos'!B$2</f>
        <v>1.1944937894429008E-40</v>
      </c>
      <c r="G51">
        <f>+_xlfn.POISSON.DIST($A51,'estadísticos descriptivos'!C$6,0)*'estadísticos descriptivos'!C$2</f>
        <v>4.4705955165935422E-76</v>
      </c>
      <c r="H51">
        <f>+_xlfn.POISSON.DIST($A51,'estadísticos descriptivos'!D$6,0)*'estadísticos descriptivos'!D$2</f>
        <v>1.0091885027162394E-46</v>
      </c>
      <c r="I51">
        <f>+_xlfn.POISSON.DIST($A51,'estadísticos descriptivos'!E$6,0)*'estadísticos descriptivos'!E$2</f>
        <v>7.6997681308303269E-66</v>
      </c>
      <c r="J51">
        <f t="shared" si="17"/>
        <v>1.1944937894429008E-40</v>
      </c>
      <c r="K51">
        <f t="shared" si="18"/>
        <v>4.4705955165935428E-76</v>
      </c>
      <c r="L51">
        <f t="shared" si="19"/>
        <v>1.0091885027162394E-46</v>
      </c>
      <c r="M51" s="4">
        <f t="shared" si="20"/>
        <v>7.6997681308303269E-66</v>
      </c>
      <c r="N51">
        <f>BINOMDIST($A51,90,'estadísticos descriptivos'!B$6/90,0)*'estadísticos descriptivos'!B$2</f>
        <v>1.5406119304762299E-46</v>
      </c>
      <c r="O51">
        <f>BINOMDIST($A51,90,'estadísticos descriptivos'!C$6/90,0)*'estadísticos descriptivos'!C$2</f>
        <v>1.9442109710646928E-82</v>
      </c>
      <c r="P51">
        <f>BINOMDIST($A51,90,'estadísticos descriptivos'!D$6/90,0)*'estadísticos descriptivos'!D$2</f>
        <v>9.3237095041952788E-53</v>
      </c>
      <c r="Q51">
        <f>BINOMDIST($A51,90,'estadísticos descriptivos'!E$6/90,0)*'estadísticos descriptivos'!E$2</f>
        <v>3.8999857837565977E-72</v>
      </c>
      <c r="R51" s="3">
        <f t="shared" si="21"/>
        <v>1.5406119304762299E-46</v>
      </c>
      <c r="S51">
        <f t="shared" si="22"/>
        <v>1.9442109710646928E-82</v>
      </c>
      <c r="T51">
        <f t="shared" si="23"/>
        <v>9.3237095041952788E-53</v>
      </c>
      <c r="U51">
        <f t="shared" si="24"/>
        <v>3.8999857837565977E-72</v>
      </c>
      <c r="V51" s="3">
        <f t="shared" si="30"/>
        <v>6.9927199345007502E-42</v>
      </c>
      <c r="W51">
        <f t="shared" si="31"/>
        <v>6.8576742321639674E-78</v>
      </c>
      <c r="X51">
        <f t="shared" si="32"/>
        <v>9.9195083372971337E-8</v>
      </c>
      <c r="Y51" s="4">
        <f t="shared" si="33"/>
        <v>8.8149089548205537E-73</v>
      </c>
      <c r="Z51">
        <f t="shared" si="25"/>
        <v>6.9927199345007502E-42</v>
      </c>
      <c r="AA51">
        <f t="shared" si="26"/>
        <v>6.8576742321639674E-78</v>
      </c>
      <c r="AB51">
        <f t="shared" si="27"/>
        <v>9.9195083372971337E-8</v>
      </c>
      <c r="AC51" s="4">
        <f t="shared" si="28"/>
        <v>8.8149089548205537E-73</v>
      </c>
    </row>
    <row r="52" spans="1:29">
      <c r="A52">
        <f t="shared" si="29"/>
        <v>48</v>
      </c>
      <c r="B52" s="3">
        <f>+COUNTIF(desglose!F:F,'pruebas de bondad de ajuste'!$A52)</f>
        <v>0</v>
      </c>
      <c r="C52">
        <f>+COUNTIF(desglose!G:G,'pruebas de bondad de ajuste'!$A52)</f>
        <v>0</v>
      </c>
      <c r="D52">
        <f>+COUNTIF(desglose!Q:Q,'pruebas de bondad de ajuste'!$A52)/'estadísticos descriptivos'!D$2</f>
        <v>0</v>
      </c>
      <c r="E52" s="4">
        <f>+COUNTIF(desglose!R:R,'pruebas de bondad de ajuste'!$A52)/'estadísticos descriptivos'!E$2</f>
        <v>0</v>
      </c>
      <c r="F52" s="3">
        <f>+_xlfn.POISSON.DIST($A52,'estadísticos descriptivos'!B$6,0)*'estadísticos descriptivos'!B$2</f>
        <v>6.3279730512153196E-42</v>
      </c>
      <c r="G52">
        <f>+_xlfn.POISSON.DIST($A52,'estadísticos descriptivos'!C$6,0)*'estadísticos descriptivos'!C$2</f>
        <v>3.9916031398157392E-78</v>
      </c>
      <c r="H52">
        <f>+_xlfn.POISSON.DIST($A52,'estadísticos descriptivos'!D$6,0)*'estadísticos descriptivos'!D$2</f>
        <v>3.9713436449481194E-48</v>
      </c>
      <c r="I52">
        <f>+_xlfn.POISSON.DIST($A52,'estadísticos descriptivos'!E$6,0)*'estadísticos descriptivos'!E$2</f>
        <v>1.1585299270925536E-67</v>
      </c>
      <c r="J52">
        <f t="shared" si="17"/>
        <v>6.3279730512153196E-42</v>
      </c>
      <c r="K52">
        <f t="shared" si="18"/>
        <v>3.9916031398157397E-78</v>
      </c>
      <c r="L52">
        <f t="shared" si="19"/>
        <v>3.9713436449481194E-48</v>
      </c>
      <c r="M52" s="4">
        <f t="shared" si="20"/>
        <v>1.1585299270925534E-67</v>
      </c>
      <c r="N52">
        <f>BINOMDIST($A52,90,'estadísticos descriptivos'!B$6/90,0)*'estadísticos descriptivos'!B$2</f>
        <v>4.0127966472915647E-48</v>
      </c>
      <c r="O52">
        <f>BINOMDIST($A52,90,'estadísticos descriptivos'!C$6/90,0)*'estadísticos descriptivos'!C$2</f>
        <v>8.3334401670438101E-85</v>
      </c>
      <c r="P52">
        <f>BINOMDIST($A52,90,'estadísticos descriptivos'!D$6/90,0)*'estadísticos descriptivos'!D$2</f>
        <v>1.7905715761787182E-54</v>
      </c>
      <c r="Q52">
        <f>BINOMDIST($A52,90,'estadísticos descriptivos'!E$6/90,0)*'estadísticos descriptivos'!E$2</f>
        <v>2.8262964803981893E-74</v>
      </c>
      <c r="R52" s="3">
        <f t="shared" si="21"/>
        <v>4.0127966472915647E-48</v>
      </c>
      <c r="S52">
        <f t="shared" si="22"/>
        <v>8.3334401670438089E-85</v>
      </c>
      <c r="T52">
        <f t="shared" si="23"/>
        <v>1.7905715761787182E-54</v>
      </c>
      <c r="U52">
        <f t="shared" si="24"/>
        <v>2.8262964803981893E-74</v>
      </c>
      <c r="V52" s="3">
        <f t="shared" si="30"/>
        <v>3.7999264551983729E-43</v>
      </c>
      <c r="W52">
        <f t="shared" si="31"/>
        <v>5.9979658007264157E-80</v>
      </c>
      <c r="X52">
        <f t="shared" si="32"/>
        <v>-9.2809861229372532E-8</v>
      </c>
      <c r="Y52" s="4">
        <f t="shared" si="33"/>
        <v>-3.584054433506927E-74</v>
      </c>
      <c r="Z52">
        <f t="shared" si="25"/>
        <v>3.7999264551983729E-43</v>
      </c>
      <c r="AA52">
        <f t="shared" si="26"/>
        <v>5.9979658007264165E-80</v>
      </c>
      <c r="AB52">
        <f t="shared" si="27"/>
        <v>-9.2809861229372532E-8</v>
      </c>
      <c r="AC52" s="4">
        <f t="shared" si="28"/>
        <v>-3.584054433506927E-74</v>
      </c>
    </row>
    <row r="53" spans="1:29">
      <c r="A53">
        <f t="shared" si="29"/>
        <v>49</v>
      </c>
      <c r="B53" s="3">
        <f>+COUNTIF(desglose!F:F,'pruebas de bondad de ajuste'!$A53)</f>
        <v>0</v>
      </c>
      <c r="C53">
        <f>+COUNTIF(desglose!G:G,'pruebas de bondad de ajuste'!$A53)</f>
        <v>0</v>
      </c>
      <c r="D53">
        <f>+COUNTIF(desglose!Q:Q,'pruebas de bondad de ajuste'!$A53)/'estadísticos descriptivos'!D$2</f>
        <v>0</v>
      </c>
      <c r="E53" s="4">
        <f>+COUNTIF(desglose!R:R,'pruebas de bondad de ajuste'!$A53)/'estadísticos descriptivos'!E$2</f>
        <v>0</v>
      </c>
      <c r="F53" s="3">
        <f>+_xlfn.POISSON.DIST($A53,'estadísticos descriptivos'!B$6,0)*'estadísticos descriptivos'!B$2</f>
        <v>3.2839043822632476E-43</v>
      </c>
      <c r="G53">
        <f>+_xlfn.POISSON.DIST($A53,'estadísticos descriptivos'!C$6,0)*'estadísticos descriptivos'!C$2</f>
        <v>3.491198081471538E-80</v>
      </c>
      <c r="H53">
        <f>+_xlfn.POISSON.DIST($A53,'estadísticos descriptivos'!D$6,0)*'estadísticos descriptivos'!D$2</f>
        <v>1.5309034458983617E-49</v>
      </c>
      <c r="I53">
        <f>+_xlfn.POISSON.DIST($A53,'estadísticos descriptivos'!E$6,0)*'estadísticos descriptivos'!E$2</f>
        <v>1.7075837927668212E-69</v>
      </c>
      <c r="J53">
        <f t="shared" si="17"/>
        <v>3.2839043822632476E-43</v>
      </c>
      <c r="K53">
        <f t="shared" si="18"/>
        <v>3.491198081471538E-80</v>
      </c>
      <c r="L53">
        <f t="shared" si="19"/>
        <v>1.5309034458983617E-49</v>
      </c>
      <c r="M53" s="4">
        <f t="shared" si="20"/>
        <v>1.7075837927668212E-69</v>
      </c>
      <c r="N53">
        <f>BINOMDIST($A53,90,'estadísticos descriptivos'!B$6/90,0)*'estadísticos descriptivos'!B$2</f>
        <v>1.0000622624042554E-49</v>
      </c>
      <c r="O53">
        <f>BINOMDIST($A53,90,'estadísticos descriptivos'!C$6/90,0)*'estadísticos descriptivos'!C$2</f>
        <v>3.4176788108176464E-87</v>
      </c>
      <c r="P53">
        <f>BINOMDIST($A53,90,'estadísticos descriptivos'!D$6/90,0)*'estadísticos descriptivos'!D$2</f>
        <v>3.2901873675054244E-56</v>
      </c>
      <c r="Q53">
        <f>BINOMDIST($A53,90,'estadísticos descriptivos'!E$6/90,0)*'estadísticos descriptivos'!E$2</f>
        <v>1.9597397588324708E-76</v>
      </c>
      <c r="R53" s="3">
        <f t="shared" si="21"/>
        <v>1.0000622624042554E-49</v>
      </c>
      <c r="S53">
        <f t="shared" si="22"/>
        <v>3.4176788108176464E-87</v>
      </c>
      <c r="T53">
        <f t="shared" si="23"/>
        <v>3.2901873675054244E-56</v>
      </c>
      <c r="U53">
        <f t="shared" si="24"/>
        <v>1.9597397588324705E-76</v>
      </c>
      <c r="V53" s="3">
        <f t="shared" si="30"/>
        <v>2.0256302558067917E-44</v>
      </c>
      <c r="W53">
        <f t="shared" si="31"/>
        <v>5.1411135434797093E-82</v>
      </c>
      <c r="X53">
        <f t="shared" si="32"/>
        <v>8.7020501184610776E-8</v>
      </c>
      <c r="Y53" s="4">
        <f t="shared" si="33"/>
        <v>1.4692527239113176E-75</v>
      </c>
      <c r="Z53">
        <f t="shared" si="25"/>
        <v>2.0256302558067917E-44</v>
      </c>
      <c r="AA53">
        <f t="shared" si="26"/>
        <v>5.1411135434797093E-82</v>
      </c>
      <c r="AB53">
        <f t="shared" si="27"/>
        <v>8.7020501184610776E-8</v>
      </c>
      <c r="AC53" s="4">
        <f t="shared" si="28"/>
        <v>1.4692527239113176E-75</v>
      </c>
    </row>
    <row r="54" spans="1:29">
      <c r="A54">
        <f t="shared" si="29"/>
        <v>50</v>
      </c>
      <c r="B54" s="3">
        <f>+COUNTIF(desglose!F:F,'pruebas de bondad de ajuste'!$A54)</f>
        <v>0</v>
      </c>
      <c r="C54">
        <f>+COUNTIF(desglose!G:G,'pruebas de bondad de ajuste'!$A54)</f>
        <v>0</v>
      </c>
      <c r="D54">
        <f>+COUNTIF(desglose!Q:Q,'pruebas de bondad de ajuste'!$A54)/'estadísticos descriptivos'!D$2</f>
        <v>0</v>
      </c>
      <c r="E54" s="4">
        <f>+COUNTIF(desglose!R:R,'pruebas de bondad de ajuste'!$A54)/'estadísticos descriptivos'!E$2</f>
        <v>0</v>
      </c>
      <c r="F54" s="3">
        <f>+_xlfn.POISSON.DIST($A54,'estadísticos descriptivos'!B$6,0)*'estadísticos descriptivos'!B$2</f>
        <v>1.670099942979663E-44</v>
      </c>
      <c r="G54">
        <f>+_xlfn.POISSON.DIST($A54,'estadísticos descriptivos'!C$6,0)*'estadísticos descriptivos'!C$2</f>
        <v>2.9924554984041617E-82</v>
      </c>
      <c r="H54">
        <f>+_xlfn.POISSON.DIST($A54,'estadísticos descriptivos'!D$6,0)*'estadísticos descriptivos'!D$2</f>
        <v>5.7834130178383052E-51</v>
      </c>
      <c r="I54">
        <f>+_xlfn.POISSON.DIST($A54,'estadísticos descriptivos'!E$6,0)*'estadísticos descriptivos'!E$2</f>
        <v>2.4665099228853924E-71</v>
      </c>
      <c r="J54">
        <f t="shared" si="17"/>
        <v>1.670099942979663E-44</v>
      </c>
      <c r="K54">
        <f t="shared" si="18"/>
        <v>2.9924554984041617E-82</v>
      </c>
      <c r="L54">
        <f t="shared" si="19"/>
        <v>5.7834130178383052E-51</v>
      </c>
      <c r="M54" s="4">
        <f t="shared" si="20"/>
        <v>2.4665099228853924E-71</v>
      </c>
      <c r="N54">
        <f>BINOMDIST($A54,90,'estadísticos descriptivos'!B$6/90,0)*'estadísticos descriptivos'!B$2</f>
        <v>2.3843366190874191E-51</v>
      </c>
      <c r="O54">
        <f>BINOMDIST($A54,90,'estadísticos descriptivos'!C$6/90,0)*'estadísticos descriptivos'!C$2</f>
        <v>1.340907476014588E-89</v>
      </c>
      <c r="P54">
        <f>BINOMDIST($A54,90,'estadísticos descriptivos'!D$6/90,0)*'estadísticos descriptivos'!D$2</f>
        <v>5.7837593824750413E-58</v>
      </c>
      <c r="Q54">
        <f>BINOMDIST($A54,90,'estadísticos descriptivos'!E$6/90,0)*'estadísticos descriptivos'!E$2</f>
        <v>1.2999891617395105E-78</v>
      </c>
      <c r="R54" s="3">
        <f t="shared" si="21"/>
        <v>2.3843366190874194E-51</v>
      </c>
      <c r="S54">
        <f t="shared" si="22"/>
        <v>1.340907476014588E-89</v>
      </c>
      <c r="T54">
        <f t="shared" si="23"/>
        <v>5.7837593824750413E-58</v>
      </c>
      <c r="U54">
        <f t="shared" si="24"/>
        <v>1.2999891617395105E-78</v>
      </c>
      <c r="V54" s="3">
        <f t="shared" si="30"/>
        <v>1.0596792103935885E-45</v>
      </c>
      <c r="W54">
        <f t="shared" si="31"/>
        <v>4.3202634819156572E-84</v>
      </c>
      <c r="X54">
        <f t="shared" si="32"/>
        <v>-8.1758790251956373E-8</v>
      </c>
      <c r="Y54" s="4">
        <f t="shared" si="33"/>
        <v>-6.0703872275098786E-77</v>
      </c>
      <c r="Z54">
        <f t="shared" si="25"/>
        <v>1.0596792103935885E-45</v>
      </c>
      <c r="AA54">
        <f t="shared" si="26"/>
        <v>4.3202634819156572E-84</v>
      </c>
      <c r="AB54">
        <f t="shared" si="27"/>
        <v>-8.1758790251956373E-8</v>
      </c>
      <c r="AC54" s="4">
        <f t="shared" si="28"/>
        <v>-6.0703872275098786E-77</v>
      </c>
    </row>
    <row r="55" spans="1:29">
      <c r="A55">
        <f t="shared" si="29"/>
        <v>51</v>
      </c>
      <c r="B55" s="3">
        <f>+COUNTIF(desglose!F:F,'pruebas de bondad de ajuste'!$A55)</f>
        <v>0</v>
      </c>
      <c r="C55">
        <f>+COUNTIF(desglose!G:G,'pruebas de bondad de ajuste'!$A55)</f>
        <v>0</v>
      </c>
      <c r="D55">
        <f>+COUNTIF(desglose!Q:Q,'pruebas de bondad de ajuste'!$A55)/'estadísticos descriptivos'!D$2</f>
        <v>0</v>
      </c>
      <c r="E55" s="4">
        <f>+COUNTIF(desglose!R:R,'pruebas de bondad de ajuste'!$A55)/'estadísticos descriptivos'!E$2</f>
        <v>0</v>
      </c>
      <c r="F55" s="3">
        <f>+_xlfn.POISSON.DIST($A55,'estadísticos descriptivos'!B$6,0)*'estadísticos descriptivos'!B$2</f>
        <v>8.3271089593943391E-46</v>
      </c>
      <c r="G55">
        <f>+_xlfn.POISSON.DIST($A55,'estadísticos descriptivos'!C$6,0)*'estadísticos descriptivos'!C$2</f>
        <v>2.5146684860538341E-84</v>
      </c>
      <c r="H55">
        <f>+_xlfn.POISSON.DIST($A55,'estadísticos descriptivos'!D$6,0)*'estadísticos descriptivos'!D$2</f>
        <v>2.1420048214215719E-52</v>
      </c>
      <c r="I55">
        <f>+_xlfn.POISSON.DIST($A55,'estadísticos descriptivos'!E$6,0)*'estadísticos descriptivos'!E$2</f>
        <v>3.4928789757635217E-73</v>
      </c>
      <c r="J55">
        <f t="shared" si="17"/>
        <v>8.3271089593943391E-46</v>
      </c>
      <c r="K55">
        <f t="shared" si="18"/>
        <v>2.5146684860538341E-84</v>
      </c>
      <c r="L55">
        <f t="shared" si="19"/>
        <v>2.1420048214215719E-52</v>
      </c>
      <c r="M55" s="4">
        <f t="shared" si="20"/>
        <v>3.4928789757635217E-73</v>
      </c>
      <c r="N55">
        <f>BINOMDIST($A55,90,'estadísticos descriptivos'!B$6/90,0)*'estadísticos descriptivos'!B$2</f>
        <v>5.4373095835342635E-53</v>
      </c>
      <c r="O55">
        <f>BINOMDIST($A55,90,'estadísticos descriptivos'!C$6/90,0)*'estadísticos descriptivos'!C$2</f>
        <v>5.0320197992853629E-92</v>
      </c>
      <c r="P55">
        <f>BINOMDIST($A55,90,'estadísticos descriptivos'!D$6/90,0)*'estadísticos descriptivos'!D$2</f>
        <v>9.7246900083647462E-60</v>
      </c>
      <c r="Q55">
        <f>BINOMDIST($A55,90,'estadísticos descriptivos'!E$6/90,0)*'estadísticos descriptivos'!E$2</f>
        <v>8.2481589626821772E-81</v>
      </c>
      <c r="R55" s="3">
        <f t="shared" si="21"/>
        <v>5.4373095835342635E-53</v>
      </c>
      <c r="S55">
        <f t="shared" si="22"/>
        <v>5.0320197992853629E-92</v>
      </c>
      <c r="T55">
        <f t="shared" si="23"/>
        <v>9.7246900083647462E-60</v>
      </c>
      <c r="U55">
        <f t="shared" si="24"/>
        <v>8.2481589626821772E-81</v>
      </c>
      <c r="V55" s="3">
        <f t="shared" si="30"/>
        <v>5.4423251862112046E-47</v>
      </c>
      <c r="W55">
        <f t="shared" si="31"/>
        <v>3.5606567158644978E-86</v>
      </c>
      <c r="X55">
        <f t="shared" si="32"/>
        <v>7.6965660258853877E-8</v>
      </c>
      <c r="Y55" s="4">
        <f t="shared" si="33"/>
        <v>2.5268455400979887E-78</v>
      </c>
      <c r="Z55">
        <f t="shared" si="25"/>
        <v>5.4423251862112046E-47</v>
      </c>
      <c r="AA55">
        <f t="shared" si="26"/>
        <v>3.5606567158644978E-86</v>
      </c>
      <c r="AB55">
        <f t="shared" si="27"/>
        <v>7.6965660258853877E-8</v>
      </c>
      <c r="AC55" s="4">
        <f t="shared" si="28"/>
        <v>2.5268455400979887E-78</v>
      </c>
    </row>
    <row r="56" spans="1:29">
      <c r="A56">
        <f t="shared" si="29"/>
        <v>52</v>
      </c>
      <c r="B56" s="3">
        <f>+COUNTIF(desglose!F:F,'pruebas de bondad de ajuste'!$A56)</f>
        <v>0</v>
      </c>
      <c r="C56">
        <f>+COUNTIF(desglose!G:G,'pruebas de bondad de ajuste'!$A56)</f>
        <v>0</v>
      </c>
      <c r="D56">
        <f>+COUNTIF(desglose!Q:Q,'pruebas de bondad de ajuste'!$A56)/'estadísticos descriptivos'!D$2</f>
        <v>0</v>
      </c>
      <c r="E56" s="4">
        <f>+COUNTIF(desglose!R:R,'pruebas de bondad de ajuste'!$A56)/'estadísticos descriptivos'!E$2</f>
        <v>0</v>
      </c>
      <c r="F56" s="3">
        <f>+_xlfn.POISSON.DIST($A56,'estadísticos descriptivos'!B$6,0)*'estadísticos descriptivos'!B$2</f>
        <v>4.0720477878355722E-47</v>
      </c>
      <c r="G56">
        <f>+_xlfn.POISSON.DIST($A56,'estadísticos descriptivos'!C$6,0)*'estadísticos descriptivos'!C$2</f>
        <v>2.0725289720224047E-86</v>
      </c>
      <c r="H56">
        <f>+_xlfn.POISSON.DIST($A56,'estadísticos descriptivos'!D$6,0)*'estadísticos descriptivos'!D$2</f>
        <v>7.7807867444800307E-54</v>
      </c>
      <c r="I56">
        <f>+_xlfn.POISSON.DIST($A56,'estadísticos descriptivos'!E$6,0)*'estadísticos descriptivos'!E$2</f>
        <v>4.8512207996715715E-75</v>
      </c>
      <c r="J56">
        <f t="shared" si="17"/>
        <v>4.0720477878355722E-47</v>
      </c>
      <c r="K56">
        <f t="shared" si="18"/>
        <v>2.0725289720224047E-86</v>
      </c>
      <c r="L56">
        <f t="shared" si="19"/>
        <v>7.7807867444800307E-54</v>
      </c>
      <c r="M56" s="4">
        <f t="shared" si="20"/>
        <v>4.8512207996715715E-75</v>
      </c>
      <c r="N56">
        <f>BINOMDIST($A56,90,'estadísticos descriptivos'!B$6/90,0)*'estadísticos descriptivos'!B$2</f>
        <v>1.1856923054586736E-54</v>
      </c>
      <c r="O56">
        <f>BINOMDIST($A56,90,'estadísticos descriptivos'!C$6/90,0)*'estadísticos descriptivos'!C$2</f>
        <v>1.8057487318009904E-94</v>
      </c>
      <c r="P56">
        <f>BINOMDIST($A56,90,'estadísticos descriptivos'!D$6/90,0)*'estadísticos descriptivos'!D$2</f>
        <v>1.5635535637660996E-61</v>
      </c>
      <c r="Q56">
        <f>BINOMDIST($A56,90,'estadísticos descriptivos'!E$6/90,0)*'estadísticos descriptivos'!E$2</f>
        <v>5.0043279331767843E-83</v>
      </c>
      <c r="R56" s="3">
        <f t="shared" si="21"/>
        <v>1.1856923054586736E-54</v>
      </c>
      <c r="S56">
        <f t="shared" si="22"/>
        <v>1.8057487318009904E-94</v>
      </c>
      <c r="T56">
        <f t="shared" si="23"/>
        <v>1.5635535637660996E-61</v>
      </c>
      <c r="U56">
        <f t="shared" si="24"/>
        <v>5.0043279331767843E-83</v>
      </c>
      <c r="V56" s="3">
        <f t="shared" si="30"/>
        <v>2.7450522468812918E-48</v>
      </c>
      <c r="W56">
        <f t="shared" si="31"/>
        <v>2.8792372365480664E-88</v>
      </c>
      <c r="X56">
        <f t="shared" si="32"/>
        <v>-7.2589796473209387E-8</v>
      </c>
      <c r="Y56" s="4">
        <f t="shared" si="33"/>
        <v>-1.0593472896632196E-79</v>
      </c>
      <c r="Z56">
        <f t="shared" si="25"/>
        <v>2.7450522468812918E-48</v>
      </c>
      <c r="AA56">
        <f t="shared" si="26"/>
        <v>2.8792372365480664E-88</v>
      </c>
      <c r="AB56">
        <f t="shared" si="27"/>
        <v>-7.2589796473209387E-8</v>
      </c>
      <c r="AC56" s="4">
        <f t="shared" si="28"/>
        <v>-1.0593472896632196E-79</v>
      </c>
    </row>
    <row r="57" spans="1:29">
      <c r="A57">
        <f t="shared" si="29"/>
        <v>53</v>
      </c>
      <c r="B57" s="3">
        <f>+COUNTIF(desglose!F:F,'pruebas de bondad de ajuste'!$A57)</f>
        <v>0</v>
      </c>
      <c r="C57">
        <f>+COUNTIF(desglose!G:G,'pruebas de bondad de ajuste'!$A57)</f>
        <v>0</v>
      </c>
      <c r="D57">
        <f>+COUNTIF(desglose!Q:Q,'pruebas de bondad de ajuste'!$A57)/'estadísticos descriptivos'!D$2</f>
        <v>0</v>
      </c>
      <c r="E57" s="4">
        <f>+COUNTIF(desglose!R:R,'pruebas de bondad de ajuste'!$A57)/'estadísticos descriptivos'!E$2</f>
        <v>0</v>
      </c>
      <c r="F57" s="3">
        <f>+_xlfn.POISSON.DIST($A57,'estadísticos descriptivos'!B$6,0)*'estadísticos descriptivos'!B$2</f>
        <v>1.9537048685572727E-48</v>
      </c>
      <c r="G57">
        <f>+_xlfn.POISSON.DIST($A57,'estadísticos descriptivos'!C$6,0)*'estadísticos descriptivos'!C$2</f>
        <v>1.6758994382930264E-88</v>
      </c>
      <c r="H57">
        <f>+_xlfn.POISSON.DIST($A57,'estadísticos descriptivos'!D$6,0)*'estadísticos descriptivos'!D$2</f>
        <v>2.7730267223514252E-55</v>
      </c>
      <c r="I57">
        <f>+_xlfn.POISSON.DIST($A57,'estadísticos descriptivos'!E$6,0)*'estadísticos descriptivos'!E$2</f>
        <v>6.6106782385461198E-77</v>
      </c>
      <c r="J57">
        <f t="shared" si="17"/>
        <v>1.9537048685572724E-48</v>
      </c>
      <c r="K57">
        <f t="shared" si="18"/>
        <v>1.6758994382930264E-88</v>
      </c>
      <c r="L57">
        <f t="shared" si="19"/>
        <v>2.7730267223514252E-55</v>
      </c>
      <c r="M57" s="4">
        <f t="shared" si="20"/>
        <v>6.6106782385461198E-77</v>
      </c>
      <c r="N57">
        <f>BINOMDIST($A57,90,'estadísticos descriptivos'!B$6/90,0)*'estadísticos descriptivos'!B$2</f>
        <v>2.471760601764952E-56</v>
      </c>
      <c r="O57">
        <f>BINOMDIST($A57,90,'estadísticos descriptivos'!C$6/90,0)*'estadísticos descriptivos'!C$2</f>
        <v>6.1946783252176283E-97</v>
      </c>
      <c r="P57">
        <f>BINOMDIST($A57,90,'estadísticos descriptivos'!D$6/90,0)*'estadísticos descriptivos'!D$2</f>
        <v>2.4032349144469219E-63</v>
      </c>
      <c r="Q57">
        <f>BINOMDIST($A57,90,'estadísticos descriptivos'!E$6/90,0)*'estadísticos descriptivos'!E$2</f>
        <v>2.90255838136145E-85</v>
      </c>
      <c r="R57" s="3">
        <f t="shared" si="21"/>
        <v>2.471760601764952E-56</v>
      </c>
      <c r="S57">
        <f t="shared" si="22"/>
        <v>6.1946783252176283E-97</v>
      </c>
      <c r="T57">
        <f t="shared" si="23"/>
        <v>2.4032349144469219E-63</v>
      </c>
      <c r="U57">
        <f t="shared" si="24"/>
        <v>2.90255838136145E-85</v>
      </c>
      <c r="V57" s="3">
        <f t="shared" si="30"/>
        <v>1.3602759138237654E-49</v>
      </c>
      <c r="W57">
        <f t="shared" si="31"/>
        <v>2.2851089178952544E-90</v>
      </c>
      <c r="X57">
        <f t="shared" si="32"/>
        <v>6.8586481609460588E-8</v>
      </c>
      <c r="Y57" s="4">
        <f t="shared" si="33"/>
        <v>4.4715690082413309E-81</v>
      </c>
      <c r="Z57">
        <f t="shared" si="25"/>
        <v>1.3602759138237654E-49</v>
      </c>
      <c r="AA57">
        <f t="shared" si="26"/>
        <v>2.2851089178952544E-90</v>
      </c>
      <c r="AB57">
        <f t="shared" si="27"/>
        <v>6.8586481609460588E-8</v>
      </c>
      <c r="AC57" s="4">
        <f t="shared" si="28"/>
        <v>4.4715690082413309E-81</v>
      </c>
    </row>
    <row r="58" spans="1:29">
      <c r="A58">
        <f t="shared" si="29"/>
        <v>54</v>
      </c>
      <c r="B58" s="3">
        <f>+COUNTIF(desglose!F:F,'pruebas de bondad de ajuste'!$A58)</f>
        <v>0</v>
      </c>
      <c r="C58">
        <f>+COUNTIF(desglose!G:G,'pruebas de bondad de ajuste'!$A58)</f>
        <v>0</v>
      </c>
      <c r="D58">
        <f>+COUNTIF(desglose!Q:Q,'pruebas de bondad de ajuste'!$A58)/'estadísticos descriptivos'!D$2</f>
        <v>0</v>
      </c>
      <c r="E58" s="4">
        <f>+COUNTIF(desglose!R:R,'pruebas de bondad de ajuste'!$A58)/'estadísticos descriptivos'!E$2</f>
        <v>0</v>
      </c>
      <c r="F58" s="3">
        <f>+_xlfn.POISSON.DIST($A58,'estadísticos descriptivos'!B$6,0)*'estadísticos descriptivos'!B$2</f>
        <v>9.1999858889734809E-50</v>
      </c>
      <c r="G58">
        <f>+_xlfn.POISSON.DIST($A58,'estadísticos descriptivos'!C$6,0)*'estadísticos descriptivos'!C$2</f>
        <v>1.3300789192801903E-90</v>
      </c>
      <c r="H58">
        <f>+_xlfn.POISSON.DIST($A58,'estadísticos descriptivos'!D$6,0)*'estadísticos descriptivos'!D$2</f>
        <v>9.6998877119287702E-57</v>
      </c>
      <c r="I58">
        <f>+_xlfn.POISSON.DIST($A58,'estadísticos descriptivos'!E$6,0)*'estadísticos descriptivos'!E$2</f>
        <v>8.8414420885905255E-79</v>
      </c>
      <c r="J58">
        <f t="shared" si="17"/>
        <v>9.1999858889734809E-50</v>
      </c>
      <c r="K58">
        <f t="shared" si="18"/>
        <v>1.3300789192801903E-90</v>
      </c>
      <c r="L58">
        <f t="shared" si="19"/>
        <v>9.6998877119287702E-57</v>
      </c>
      <c r="M58" s="4">
        <f t="shared" si="20"/>
        <v>8.8414420885905255E-79</v>
      </c>
      <c r="N58">
        <f>BINOMDIST($A58,90,'estadísticos descriptivos'!B$6/90,0)*'estadísticos descriptivos'!B$2</f>
        <v>4.9242608089899908E-58</v>
      </c>
      <c r="O58">
        <f>BINOMDIST($A58,90,'estadísticos descriptivos'!C$6/90,0)*'estadísticos descriptivos'!C$2</f>
        <v>2.0308621126444936E-99</v>
      </c>
      <c r="P58">
        <f>BINOMDIST($A58,90,'estadísticos descriptivos'!D$6/90,0)*'estadísticos descriptivos'!D$2</f>
        <v>3.5300424108801575E-65</v>
      </c>
      <c r="Q58">
        <f>BINOMDIST($A58,90,'estadísticos descriptivos'!E$6/90,0)*'estadísticos descriptivos'!E$2</f>
        <v>1.6088531441550932E-87</v>
      </c>
      <c r="R58" s="3">
        <f t="shared" si="21"/>
        <v>4.9242608089899908E-58</v>
      </c>
      <c r="S58">
        <f t="shared" si="22"/>
        <v>2.0308621126444936E-99</v>
      </c>
      <c r="T58">
        <f t="shared" si="23"/>
        <v>3.5300424108801575E-65</v>
      </c>
      <c r="U58">
        <f t="shared" si="24"/>
        <v>1.6088531441550932E-87</v>
      </c>
      <c r="V58" s="3">
        <f t="shared" si="30"/>
        <v>6.6246388424273606E-51</v>
      </c>
      <c r="W58">
        <f t="shared" si="31"/>
        <v>1.7806043516066631E-92</v>
      </c>
      <c r="X58">
        <f t="shared" si="32"/>
        <v>-6.4916631597607152E-8</v>
      </c>
      <c r="Y58" s="4">
        <f t="shared" si="33"/>
        <v>-1.8998387294693107E-82</v>
      </c>
      <c r="Z58">
        <f t="shared" si="25"/>
        <v>6.6246388424273606E-51</v>
      </c>
      <c r="AA58">
        <f t="shared" si="26"/>
        <v>1.7806043516066631E-92</v>
      </c>
      <c r="AB58">
        <f t="shared" si="27"/>
        <v>-6.4916631597607152E-8</v>
      </c>
      <c r="AC58" s="4">
        <f t="shared" si="28"/>
        <v>-1.8998387294693107E-82</v>
      </c>
    </row>
    <row r="59" spans="1:29">
      <c r="A59">
        <f t="shared" si="29"/>
        <v>55</v>
      </c>
      <c r="B59" s="3">
        <f>+COUNTIF(desglose!F:F,'pruebas de bondad de ajuste'!$A59)</f>
        <v>0</v>
      </c>
      <c r="C59">
        <f>+COUNTIF(desglose!G:G,'pruebas de bondad de ajuste'!$A59)</f>
        <v>0</v>
      </c>
      <c r="D59">
        <f>+COUNTIF(desglose!Q:Q,'pruebas de bondad de ajuste'!$A59)/'estadísticos descriptivos'!D$2</f>
        <v>0</v>
      </c>
      <c r="E59" s="4">
        <f>+COUNTIF(desglose!R:R,'pruebas de bondad de ajuste'!$A59)/'estadísticos descriptivos'!E$2</f>
        <v>0</v>
      </c>
      <c r="F59" s="3">
        <f>+_xlfn.POISSON.DIST($A59,'estadísticos descriptivos'!B$6,0)*'estadísticos descriptivos'!B$2</f>
        <v>4.2534999694475123E-51</v>
      </c>
      <c r="G59">
        <f>+_xlfn.POISSON.DIST($A59,'estadísticos descriptivos'!C$6,0)*'estadísticos descriptivos'!C$2</f>
        <v>1.0364251319066327E-92</v>
      </c>
      <c r="H59">
        <f>+_xlfn.POISSON.DIST($A59,'estadísticos descriptivos'!D$6,0)*'estadísticos descriptivos'!D$2</f>
        <v>3.331274567733221E-58</v>
      </c>
      <c r="I59">
        <f>+_xlfn.POISSON.DIST($A59,'estadísticos descriptivos'!E$6,0)*'estadísticos descriptivos'!E$2</f>
        <v>1.1609974459765186E-80</v>
      </c>
      <c r="J59">
        <f t="shared" si="17"/>
        <v>4.2534999694475123E-51</v>
      </c>
      <c r="K59">
        <f t="shared" si="18"/>
        <v>1.0364251319066327E-92</v>
      </c>
      <c r="L59">
        <f t="shared" si="19"/>
        <v>3.331274567733221E-58</v>
      </c>
      <c r="M59" s="4">
        <f t="shared" si="20"/>
        <v>1.1609974459765186E-80</v>
      </c>
      <c r="N59">
        <f>BINOMDIST($A59,90,'estadísticos descriptivos'!B$6/90,0)*'estadísticos descriptivos'!B$2</f>
        <v>9.3714660283353434E-60</v>
      </c>
      <c r="O59">
        <f>BINOMDIST($A59,90,'estadísticos descriptivos'!C$6/90,0)*'estadísticos descriptivos'!C$2</f>
        <v>6.3602467207657389E-102</v>
      </c>
      <c r="P59">
        <f>BINOMDIST($A59,90,'estadísticos descriptivos'!D$6/90,0)*'estadísticos descriptivos'!D$2</f>
        <v>4.9533095390547355E-67</v>
      </c>
      <c r="Q59">
        <f>BINOMDIST($A59,90,'estadísticos descriptivos'!E$6/90,0)*'estadísticos descriptivos'!E$2</f>
        <v>8.5189033372696205E-90</v>
      </c>
      <c r="R59" s="3">
        <f t="shared" si="21"/>
        <v>9.3714660283353434E-60</v>
      </c>
      <c r="S59">
        <f t="shared" si="22"/>
        <v>6.3602467207657397E-102</v>
      </c>
      <c r="T59">
        <f t="shared" si="23"/>
        <v>4.9533095390547355E-67</v>
      </c>
      <c r="U59">
        <f t="shared" si="24"/>
        <v>8.5189033372696205E-90</v>
      </c>
      <c r="V59" s="3">
        <f t="shared" si="30"/>
        <v>3.1717531637746076E-52</v>
      </c>
      <c r="W59">
        <f t="shared" si="31"/>
        <v>1.3627074119438522E-94</v>
      </c>
      <c r="X59">
        <f t="shared" si="32"/>
        <v>6.1545988251185487E-8</v>
      </c>
      <c r="Y59" s="4">
        <f t="shared" si="33"/>
        <v>8.1225067575805344E-84</v>
      </c>
      <c r="Z59">
        <f t="shared" si="25"/>
        <v>3.1717531637746076E-52</v>
      </c>
      <c r="AA59">
        <f t="shared" si="26"/>
        <v>1.3627074119438522E-94</v>
      </c>
      <c r="AB59">
        <f t="shared" si="27"/>
        <v>6.1545988251185487E-8</v>
      </c>
      <c r="AC59" s="4">
        <f t="shared" si="28"/>
        <v>8.1225067575805344E-84</v>
      </c>
    </row>
    <row r="60" spans="1:29">
      <c r="A60">
        <f t="shared" si="29"/>
        <v>56</v>
      </c>
      <c r="B60" s="3">
        <f>+COUNTIF(desglose!F:F,'pruebas de bondad de ajuste'!$A60)</f>
        <v>0</v>
      </c>
      <c r="C60">
        <f>+COUNTIF(desglose!G:G,'pruebas de bondad de ajuste'!$A60)</f>
        <v>0</v>
      </c>
      <c r="D60">
        <f>+COUNTIF(desglose!Q:Q,'pruebas de bondad de ajuste'!$A60)/'estadísticos descriptivos'!D$2</f>
        <v>0</v>
      </c>
      <c r="E60" s="4">
        <f>+COUNTIF(desglose!R:R,'pruebas de bondad de ajuste'!$A60)/'estadísticos descriptivos'!E$2</f>
        <v>0</v>
      </c>
      <c r="F60" s="3">
        <f>+_xlfn.POISSON.DIST($A60,'estadísticos descriptivos'!B$6,0)*'estadísticos descriptivos'!B$2</f>
        <v>1.931436210616441E-52</v>
      </c>
      <c r="G60">
        <f>+_xlfn.POISSON.DIST($A60,'estadísticos descriptivos'!C$6,0)*'estadísticos descriptivos'!C$2</f>
        <v>7.9318249890814478E-95</v>
      </c>
      <c r="H60">
        <f>+_xlfn.POISSON.DIST($A60,'estadísticos descriptivos'!D$6,0)*'estadísticos descriptivos'!D$2</f>
        <v>1.1236441994338021E-59</v>
      </c>
      <c r="I60">
        <f>+_xlfn.POISSON.DIST($A60,'estadísticos descriptivos'!E$6,0)*'estadísticos descriptivos'!E$2</f>
        <v>1.4973181346919626E-82</v>
      </c>
      <c r="J60">
        <f t="shared" si="17"/>
        <v>1.931436210616441E-52</v>
      </c>
      <c r="K60">
        <f t="shared" si="18"/>
        <v>7.9318249890814478E-95</v>
      </c>
      <c r="L60">
        <f t="shared" si="19"/>
        <v>1.1236441994338021E-59</v>
      </c>
      <c r="M60" s="4">
        <f t="shared" si="20"/>
        <v>1.4973181346919626E-82</v>
      </c>
      <c r="N60">
        <f>BINOMDIST($A60,90,'estadísticos descriptivos'!B$6/90,0)*'estadísticos descriptivos'!B$2</f>
        <v>1.7029983594451433E-61</v>
      </c>
      <c r="O60">
        <f>BINOMDIST($A60,90,'estadísticos descriptivos'!C$6/90,0)*'estadísticos descriptivos'!C$2</f>
        <v>1.9019876557313514E-104</v>
      </c>
      <c r="P60">
        <f>BINOMDIST($A60,90,'estadísticos descriptivos'!D$6/90,0)*'estadísticos descriptivos'!D$2</f>
        <v>6.6366852272957842E-69</v>
      </c>
      <c r="Q60">
        <f>BINOMDIST($A60,90,'estadísticos descriptivos'!E$6/90,0)*'estadísticos descriptivos'!E$2</f>
        <v>4.3071617682211232E-92</v>
      </c>
      <c r="R60" s="3">
        <f t="shared" si="21"/>
        <v>1.7029983594451433E-61</v>
      </c>
      <c r="S60">
        <f t="shared" si="22"/>
        <v>1.9019876557313514E-104</v>
      </c>
      <c r="T60">
        <f t="shared" si="23"/>
        <v>6.6366852272957842E-69</v>
      </c>
      <c r="U60">
        <f t="shared" si="24"/>
        <v>4.3071617682211232E-92</v>
      </c>
      <c r="V60" s="3">
        <f t="shared" si="30"/>
        <v>1.493401633875031E-53</v>
      </c>
      <c r="W60">
        <f t="shared" si="31"/>
        <v>1.0245920390555108E-96</v>
      </c>
      <c r="X60">
        <f t="shared" si="32"/>
        <v>-5.8444440837873846E-8</v>
      </c>
      <c r="Y60" s="4">
        <f t="shared" si="33"/>
        <v>-3.4935635125570197E-85</v>
      </c>
      <c r="Z60">
        <f t="shared" si="25"/>
        <v>1.493401633875031E-53</v>
      </c>
      <c r="AA60">
        <f t="shared" si="26"/>
        <v>1.0245920390555108E-96</v>
      </c>
      <c r="AB60">
        <f t="shared" si="27"/>
        <v>-5.8444440837873846E-8</v>
      </c>
      <c r="AC60" s="4">
        <f t="shared" si="28"/>
        <v>-3.4935635125570197E-85</v>
      </c>
    </row>
    <row r="61" spans="1:29">
      <c r="A61">
        <f t="shared" si="29"/>
        <v>57</v>
      </c>
      <c r="B61" s="3">
        <f>+COUNTIF(desglose!F:F,'pruebas de bondad de ajuste'!$A61)</f>
        <v>0</v>
      </c>
      <c r="C61">
        <f>+COUNTIF(desglose!G:G,'pruebas de bondad de ajuste'!$A61)</f>
        <v>0</v>
      </c>
      <c r="D61">
        <f>+COUNTIF(desglose!Q:Q,'pruebas de bondad de ajuste'!$A61)/'estadísticos descriptivos'!D$2</f>
        <v>0</v>
      </c>
      <c r="E61" s="4">
        <f>+COUNTIF(desglose!R:R,'pruebas de bondad de ajuste'!$A61)/'estadísticos descriptivos'!E$2</f>
        <v>0</v>
      </c>
      <c r="F61" s="3">
        <f>+_xlfn.POISSON.DIST($A61,'estadísticos descriptivos'!B$6,0)*'estadísticos descriptivos'!B$2</f>
        <v>8.6164322177875148E-54</v>
      </c>
      <c r="G61">
        <f>+_xlfn.POISSON.DIST($A61,'estadísticos descriptivos'!C$6,0)*'estadísticos descriptivos'!C$2</f>
        <v>5.9637781872794319E-97</v>
      </c>
      <c r="H61">
        <f>+_xlfn.POISSON.DIST($A61,'estadísticos descriptivos'!D$6,0)*'estadísticos descriptivos'!D$2</f>
        <v>3.723577269078865E-61</v>
      </c>
      <c r="I61">
        <f>+_xlfn.POISSON.DIST($A61,'estadísticos descriptivos'!E$6,0)*'estadísticos descriptivos'!E$2</f>
        <v>1.8971867203699731E-84</v>
      </c>
      <c r="J61">
        <f t="shared" si="17"/>
        <v>8.616432217787516E-54</v>
      </c>
      <c r="K61">
        <f t="shared" si="18"/>
        <v>5.9637781872794319E-97</v>
      </c>
      <c r="L61">
        <f t="shared" si="19"/>
        <v>3.723577269078865E-61</v>
      </c>
      <c r="M61" s="4">
        <f t="shared" si="20"/>
        <v>1.8971867203699731E-84</v>
      </c>
      <c r="N61">
        <f>BINOMDIST($A61,90,'estadísticos descriptivos'!B$6/90,0)*'estadísticos descriptivos'!B$2</f>
        <v>2.9535543571249973E-63</v>
      </c>
      <c r="O61">
        <f>BINOMDIST($A61,90,'estadísticos descriptivos'!C$6/90,0)*'estadísticos descriptivos'!C$2</f>
        <v>5.428320347088702E-107</v>
      </c>
      <c r="P61">
        <f>BINOMDIST($A61,90,'estadísticos descriptivos'!D$6/90,0)*'estadísticos descriptivos'!D$2</f>
        <v>8.4865468936017927E-71</v>
      </c>
      <c r="Q61">
        <f>BINOMDIST($A61,90,'estadísticos descriptivos'!E$6/90,0)*'estadísticos descriptivos'!E$2</f>
        <v>2.0783693070380217E-94</v>
      </c>
      <c r="R61" s="3">
        <f t="shared" si="21"/>
        <v>2.9535543571249973E-63</v>
      </c>
      <c r="S61">
        <f t="shared" si="22"/>
        <v>5.428320347088702E-107</v>
      </c>
      <c r="T61">
        <f t="shared" si="23"/>
        <v>8.4865468936017927E-71</v>
      </c>
      <c r="U61">
        <f t="shared" si="24"/>
        <v>2.0783693070380214E-94</v>
      </c>
      <c r="V61" s="3">
        <f t="shared" si="30"/>
        <v>6.9171500937172723E-55</v>
      </c>
      <c r="W61">
        <f t="shared" si="31"/>
        <v>7.5708771358780283E-99</v>
      </c>
      <c r="X61">
        <f t="shared" si="32"/>
        <v>5.5585453971567007E-8</v>
      </c>
      <c r="Y61" s="4">
        <f t="shared" si="33"/>
        <v>1.5112901242472674E-86</v>
      </c>
      <c r="Z61">
        <f t="shared" si="25"/>
        <v>6.9171500937172723E-55</v>
      </c>
      <c r="AA61">
        <f t="shared" si="26"/>
        <v>7.5708771358780283E-99</v>
      </c>
      <c r="AB61">
        <f t="shared" si="27"/>
        <v>5.5585453971567007E-8</v>
      </c>
      <c r="AC61" s="4">
        <f t="shared" si="28"/>
        <v>1.5112901242472674E-86</v>
      </c>
    </row>
    <row r="62" spans="1:29">
      <c r="A62">
        <f t="shared" si="29"/>
        <v>58</v>
      </c>
      <c r="B62" s="3">
        <f>+COUNTIF(desglose!F:F,'pruebas de bondad de ajuste'!$A62)</f>
        <v>0</v>
      </c>
      <c r="C62">
        <f>+COUNTIF(desglose!G:G,'pruebas de bondad de ajuste'!$A62)</f>
        <v>0</v>
      </c>
      <c r="D62">
        <f>+COUNTIF(desglose!Q:Q,'pruebas de bondad de ajuste'!$A62)/'estadísticos descriptivos'!D$2</f>
        <v>0</v>
      </c>
      <c r="E62" s="4">
        <f>+COUNTIF(desglose!R:R,'pruebas de bondad de ajuste'!$A62)/'estadísticos descriptivos'!E$2</f>
        <v>0</v>
      </c>
      <c r="F62" s="3">
        <f>+_xlfn.POISSON.DIST($A62,'estadísticos descriptivos'!B$6,0)*'estadísticos descriptivos'!B$2</f>
        <v>3.777647622576951E-55</v>
      </c>
      <c r="G62">
        <f>+_xlfn.POISSON.DIST($A62,'estadísticos descriptivos'!C$6,0)*'estadísticos descriptivos'!C$2</f>
        <v>4.4067326506989961E-99</v>
      </c>
      <c r="H62">
        <f>+_xlfn.POISSON.DIST($A62,'estadísticos descriptivos'!D$6,0)*'estadísticos descriptivos'!D$2</f>
        <v>1.2126592638762536E-62</v>
      </c>
      <c r="I62">
        <f>+_xlfn.POISSON.DIST($A62,'estadísticos descriptivos'!E$6,0)*'estadísticos descriptivos'!E$2</f>
        <v>2.3623972571656331E-86</v>
      </c>
      <c r="J62">
        <f t="shared" si="17"/>
        <v>3.777647622576951E-55</v>
      </c>
      <c r="K62">
        <f t="shared" si="18"/>
        <v>4.4067326506989961E-99</v>
      </c>
      <c r="L62">
        <f t="shared" si="19"/>
        <v>1.2126592638762536E-62</v>
      </c>
      <c r="M62" s="4">
        <f t="shared" si="20"/>
        <v>2.3623972571656331E-86</v>
      </c>
      <c r="N62">
        <f>BINOMDIST($A62,90,'estadísticos descriptivos'!B$6/90,0)*'estadísticos descriptivos'!B$2</f>
        <v>4.8860464502675995E-65</v>
      </c>
      <c r="O62">
        <f>BINOMDIST($A62,90,'estadísticos descriptivos'!C$6/90,0)*'estadísticos descriptivos'!C$2</f>
        <v>1.477764159824427E-109</v>
      </c>
      <c r="P62">
        <f>BINOMDIST($A62,90,'estadísticos descriptivos'!D$6/90,0)*'estadísticos descriptivos'!D$2</f>
        <v>1.035124756992345E-72</v>
      </c>
      <c r="Q62">
        <f>BINOMDIST($A62,90,'estadísticos descriptivos'!E$6/90,0)*'estadísticos descriptivos'!E$2</f>
        <v>9.5661269952502745E-97</v>
      </c>
      <c r="R62" s="3">
        <f t="shared" si="21"/>
        <v>4.8860464502675995E-65</v>
      </c>
      <c r="S62">
        <f t="shared" si="22"/>
        <v>1.477764159824427E-109</v>
      </c>
      <c r="T62">
        <f t="shared" si="23"/>
        <v>1.035124756992345E-72</v>
      </c>
      <c r="U62">
        <f t="shared" si="24"/>
        <v>9.5661269952502745E-97</v>
      </c>
      <c r="V62" s="3">
        <f t="shared" si="30"/>
        <v>3.1526794438835119E-56</v>
      </c>
      <c r="W62">
        <f t="shared" si="31"/>
        <v>5.4994264909524669E-101</v>
      </c>
      <c r="X62">
        <f t="shared" si="32"/>
        <v>-5.2945583534812281E-8</v>
      </c>
      <c r="Y62" s="4">
        <f t="shared" si="33"/>
        <v>-6.573994246482376E-88</v>
      </c>
      <c r="Z62">
        <f t="shared" si="25"/>
        <v>3.1526794438835119E-56</v>
      </c>
      <c r="AA62">
        <f t="shared" si="26"/>
        <v>5.4994264909524669E-101</v>
      </c>
      <c r="AB62">
        <f t="shared" si="27"/>
        <v>-5.2945583534812274E-8</v>
      </c>
      <c r="AC62" s="4">
        <f t="shared" si="28"/>
        <v>-6.573994246482376E-88</v>
      </c>
    </row>
    <row r="63" spans="1:29">
      <c r="A63">
        <f t="shared" si="29"/>
        <v>59</v>
      </c>
      <c r="B63" s="3">
        <f>+COUNTIF(desglose!F:F,'pruebas de bondad de ajuste'!$A63)</f>
        <v>0</v>
      </c>
      <c r="C63">
        <f>+COUNTIF(desglose!G:G,'pruebas de bondad de ajuste'!$A63)</f>
        <v>0</v>
      </c>
      <c r="D63">
        <f>+COUNTIF(desglose!Q:Q,'pruebas de bondad de ajuste'!$A63)/'estadísticos descriptivos'!D$2</f>
        <v>0</v>
      </c>
      <c r="E63" s="4">
        <f>+COUNTIF(desglose!R:R,'pruebas de bondad de ajuste'!$A63)/'estadísticos descriptivos'!E$2</f>
        <v>0</v>
      </c>
      <c r="F63" s="3">
        <f>+_xlfn.POISSON.DIST($A63,'estadísticos descriptivos'!B$6,0)*'estadísticos descriptivos'!B$2</f>
        <v>1.6281386847909876E-56</v>
      </c>
      <c r="G63">
        <f>+_xlfn.POISSON.DIST($A63,'estadísticos descriptivos'!C$6,0)*'estadísticos descriptivos'!C$2</f>
        <v>3.2010164532923283E-101</v>
      </c>
      <c r="H63">
        <f>+_xlfn.POISSON.DIST($A63,'estadísticos descriptivos'!D$6,0)*'estadísticos descriptivos'!D$2</f>
        <v>3.8823366263458615E-64</v>
      </c>
      <c r="I63">
        <f>+_xlfn.POISSON.DIST($A63,'estadísticos descriptivos'!E$6,0)*'estadísticos descriptivos'!E$2</f>
        <v>2.8918233844777658E-88</v>
      </c>
      <c r="J63">
        <f t="shared" si="17"/>
        <v>1.6281386847909876E-56</v>
      </c>
      <c r="K63">
        <f t="shared" si="18"/>
        <v>3.2010164532923283E-101</v>
      </c>
      <c r="L63">
        <f t="shared" si="19"/>
        <v>3.8823366263458615E-64</v>
      </c>
      <c r="M63" s="4">
        <f t="shared" si="20"/>
        <v>2.8918233844777658E-88</v>
      </c>
      <c r="N63">
        <f>BINOMDIST($A63,90,'estadísticos descriptivos'!B$6/90,0)*'estadísticos descriptivos'!B$2</f>
        <v>7.7051701783300303E-67</v>
      </c>
      <c r="O63">
        <f>BINOMDIST($A63,90,'estadísticos descriptivos'!C$6/90,0)*'estadísticos descriptivos'!C$2</f>
        <v>3.8349244274092594E-112</v>
      </c>
      <c r="P63">
        <f>BINOMDIST($A63,90,'estadísticos descriptivos'!D$6/90,0)*'estadísticos descriptivos'!D$2</f>
        <v>1.20355626093539E-74</v>
      </c>
      <c r="Q63">
        <f>BINOMDIST($A63,90,'estadísticos descriptivos'!E$6/90,0)*'estadísticos descriptivos'!E$2</f>
        <v>4.1972185565524738E-99</v>
      </c>
      <c r="R63" s="3">
        <f t="shared" si="21"/>
        <v>7.7051701783300303E-67</v>
      </c>
      <c r="S63">
        <f t="shared" si="22"/>
        <v>3.8349244274092594E-112</v>
      </c>
      <c r="T63">
        <f t="shared" si="23"/>
        <v>1.20355626093539E-74</v>
      </c>
      <c r="U63">
        <f t="shared" si="24"/>
        <v>4.1972185565524738E-99</v>
      </c>
      <c r="V63" s="3">
        <f t="shared" si="30"/>
        <v>1.4143563049926226E-57</v>
      </c>
      <c r="W63">
        <f t="shared" si="31"/>
        <v>3.9281617792516927E-103</v>
      </c>
      <c r="X63">
        <f t="shared" si="32"/>
        <v>5.0504065754698896E-8</v>
      </c>
      <c r="Y63" s="4">
        <f t="shared" si="33"/>
        <v>2.8748846893065511E-89</v>
      </c>
      <c r="Z63">
        <f t="shared" si="25"/>
        <v>1.4143563049926226E-57</v>
      </c>
      <c r="AA63">
        <f t="shared" si="26"/>
        <v>3.9281617792516927E-103</v>
      </c>
      <c r="AB63">
        <f t="shared" si="27"/>
        <v>5.0504065754698896E-8</v>
      </c>
      <c r="AC63" s="4">
        <f t="shared" si="28"/>
        <v>2.8748846893065511E-89</v>
      </c>
    </row>
    <row r="64" spans="1:29">
      <c r="A64">
        <f t="shared" si="29"/>
        <v>60</v>
      </c>
      <c r="B64" s="3">
        <f>+COUNTIF(desglose!F:F,'pruebas de bondad de ajuste'!$A64)</f>
        <v>0</v>
      </c>
      <c r="C64">
        <f>+COUNTIF(desglose!G:G,'pruebas de bondad de ajuste'!$A64)</f>
        <v>0</v>
      </c>
      <c r="D64">
        <f>+COUNTIF(desglose!Q:Q,'pruebas de bondad de ajuste'!$A64)/'estadísticos descriptivos'!D$2</f>
        <v>0</v>
      </c>
      <c r="E64" s="4">
        <f>+COUNTIF(desglose!R:R,'pruebas de bondad de ajuste'!$A64)/'estadísticos descriptivos'!E$2</f>
        <v>0</v>
      </c>
      <c r="F64" s="3">
        <f>+_xlfn.POISSON.DIST($A64,'estadísticos descriptivos'!B$6,0)*'estadísticos descriptivos'!B$2</f>
        <v>6.9002068069712213E-58</v>
      </c>
      <c r="G64">
        <f>+_xlfn.POISSON.DIST($A64,'estadísticos descriptivos'!C$6,0)*'estadísticos descriptivos'!C$2</f>
        <v>2.2864403237801339E-103</v>
      </c>
      <c r="H64">
        <f>+_xlfn.POISSON.DIST($A64,'estadísticos descriptivos'!D$6,0)*'estadísticos descriptivos'!D$2</f>
        <v>1.2222170860718217E-65</v>
      </c>
      <c r="I64">
        <f>+_xlfn.POISSON.DIST($A64,'estadísticos descriptivos'!E$6,0)*'estadísticos descriptivos'!E$2</f>
        <v>3.4808985183527113E-90</v>
      </c>
      <c r="J64">
        <f t="shared" si="17"/>
        <v>6.9002068069712213E-58</v>
      </c>
      <c r="K64">
        <f t="shared" si="18"/>
        <v>2.2864403237801339E-103</v>
      </c>
      <c r="L64">
        <f t="shared" si="19"/>
        <v>1.2222170860718217E-65</v>
      </c>
      <c r="M64" s="4">
        <f t="shared" si="20"/>
        <v>3.4808985183527113E-90</v>
      </c>
      <c r="N64">
        <f>BINOMDIST($A64,90,'estadísticos descriptivos'!B$6/90,0)*'estadísticos descriptivos'!B$2</f>
        <v>1.1574956180993412E-68</v>
      </c>
      <c r="O64">
        <f>BINOMDIST($A64,90,'estadísticos descriptivos'!C$6/90,0)*'estadísticos descriptivos'!C$2</f>
        <v>9.4802756977427355E-115</v>
      </c>
      <c r="P64">
        <f>BINOMDIST($A64,90,'estadísticos descriptivos'!D$6/90,0)*'estadísticos descriptivos'!D$2</f>
        <v>1.3330688304181354E-76</v>
      </c>
      <c r="Q64">
        <f>BINOMDIST($A64,90,'estadísticos descriptivos'!E$6/90,0)*'estadísticos descriptivos'!E$2</f>
        <v>1.7542823877728906E-101</v>
      </c>
      <c r="R64" s="3">
        <f t="shared" si="21"/>
        <v>1.1574956180993412E-68</v>
      </c>
      <c r="S64">
        <f t="shared" si="22"/>
        <v>9.4802756977427355E-115</v>
      </c>
      <c r="T64">
        <f t="shared" si="23"/>
        <v>1.3330688304181354E-76</v>
      </c>
      <c r="U64">
        <f t="shared" si="24"/>
        <v>1.7542823877728906E-101</v>
      </c>
      <c r="V64" s="3">
        <f t="shared" si="30"/>
        <v>6.247186682804239E-59</v>
      </c>
      <c r="W64">
        <f t="shared" si="31"/>
        <v>2.7598326317927087E-105</v>
      </c>
      <c r="X64">
        <f t="shared" si="32"/>
        <v>-4.824246728437319E-8</v>
      </c>
      <c r="Y64" s="4">
        <f t="shared" si="33"/>
        <v>-1.2636704343275354E-90</v>
      </c>
      <c r="Z64">
        <f t="shared" si="25"/>
        <v>6.2471866828042382E-59</v>
      </c>
      <c r="AA64">
        <f t="shared" si="26"/>
        <v>2.7598326317927087E-105</v>
      </c>
      <c r="AB64">
        <f t="shared" si="27"/>
        <v>-4.824246728437319E-8</v>
      </c>
      <c r="AC64" s="4">
        <f t="shared" si="28"/>
        <v>-1.2636704343275354E-90</v>
      </c>
    </row>
    <row r="65" spans="1:29">
      <c r="A65">
        <f t="shared" si="29"/>
        <v>61</v>
      </c>
      <c r="B65" s="3">
        <f>+COUNTIF(desglose!F:F,'pruebas de bondad de ajuste'!$A65)</f>
        <v>0</v>
      </c>
      <c r="C65">
        <f>+COUNTIF(desglose!G:G,'pruebas de bondad de ajuste'!$A65)</f>
        <v>0</v>
      </c>
      <c r="D65">
        <f>+COUNTIF(desglose!Q:Q,'pruebas de bondad de ajuste'!$A65)/'estadísticos descriptivos'!D$2</f>
        <v>0</v>
      </c>
      <c r="E65" s="4">
        <f>+COUNTIF(desglose!R:R,'pruebas de bondad de ajuste'!$A65)/'estadísticos descriptivos'!E$2</f>
        <v>0</v>
      </c>
      <c r="F65" s="3">
        <f>+_xlfn.POISSON.DIST($A65,'estadísticos descriptivos'!B$6,0)*'estadísticos descriptivos'!B$2</f>
        <v>2.8764328141472351E-59</v>
      </c>
      <c r="G65">
        <f>+_xlfn.POISSON.DIST($A65,'estadísticos descriptivos'!C$6,0)*'estadísticos descriptivos'!C$2</f>
        <v>1.6063983539438993E-105</v>
      </c>
      <c r="H65">
        <f>+_xlfn.POISSON.DIST($A65,'estadísticos descriptivos'!D$6,0)*'estadísticos descriptivos'!D$2</f>
        <v>3.7846430716249107E-67</v>
      </c>
      <c r="I65">
        <f>+_xlfn.POISSON.DIST($A65,'estadísticos descriptivos'!E$6,0)*'estadísticos descriptivos'!E$2</f>
        <v>4.1212823987782988E-92</v>
      </c>
      <c r="J65">
        <f t="shared" si="17"/>
        <v>2.8764328141472351E-59</v>
      </c>
      <c r="K65">
        <f t="shared" si="18"/>
        <v>1.6063983539438993E-105</v>
      </c>
      <c r="L65">
        <f t="shared" si="19"/>
        <v>3.7846430716249107E-67</v>
      </c>
      <c r="M65" s="4">
        <f t="shared" si="20"/>
        <v>4.1212823987782988E-92</v>
      </c>
      <c r="N65">
        <f>BINOMDIST($A65,90,'estadísticos descriptivos'!B$6/90,0)*'estadísticos descriptivos'!B$2</f>
        <v>1.6551503581949611E-70</v>
      </c>
      <c r="O65">
        <f>BINOMDIST($A65,90,'estadísticos descriptivos'!C$6/90,0)*'estadísticos descriptivos'!C$2</f>
        <v>2.2308280722586572E-117</v>
      </c>
      <c r="P65">
        <f>BINOMDIST($A65,90,'estadísticos descriptivos'!D$6/90,0)*'estadísticos descriptivos'!D$2</f>
        <v>1.4054640057743845E-78</v>
      </c>
      <c r="Q65">
        <f>BINOMDIST($A65,90,'estadísticos descriptivos'!E$6/90,0)*'estadísticos descriptivos'!E$2</f>
        <v>6.9794049724205621E-104</v>
      </c>
      <c r="R65" s="3">
        <f t="shared" si="21"/>
        <v>1.6551503581949611E-70</v>
      </c>
      <c r="S65">
        <f t="shared" si="22"/>
        <v>2.2308280722586572E-117</v>
      </c>
      <c r="T65">
        <f t="shared" si="23"/>
        <v>1.4054640057743845E-78</v>
      </c>
      <c r="U65">
        <f t="shared" si="24"/>
        <v>6.9794049724205621E-104</v>
      </c>
      <c r="V65" s="3">
        <f t="shared" si="30"/>
        <v>2.717522126855753E-60</v>
      </c>
      <c r="W65">
        <f t="shared" si="31"/>
        <v>1.9077184090732659E-107</v>
      </c>
      <c r="X65">
        <f t="shared" si="32"/>
        <v>4.6144386333013349E-8</v>
      </c>
      <c r="Y65" s="4">
        <f t="shared" si="33"/>
        <v>5.5819641597968582E-92</v>
      </c>
      <c r="Z65">
        <f t="shared" si="25"/>
        <v>2.717522126855753E-60</v>
      </c>
      <c r="AA65">
        <f t="shared" si="26"/>
        <v>1.9077184090732659E-107</v>
      </c>
      <c r="AB65">
        <f t="shared" si="27"/>
        <v>4.6144386333013343E-8</v>
      </c>
      <c r="AC65" s="4">
        <f t="shared" si="28"/>
        <v>5.5819641597968582E-92</v>
      </c>
    </row>
    <row r="66" spans="1:29">
      <c r="A66">
        <f t="shared" si="29"/>
        <v>62</v>
      </c>
      <c r="B66" s="3">
        <f>+COUNTIF(desglose!F:F,'pruebas de bondad de ajuste'!$A66)</f>
        <v>0</v>
      </c>
      <c r="C66">
        <f>+COUNTIF(desglose!G:G,'pruebas de bondad de ajuste'!$A66)</f>
        <v>0</v>
      </c>
      <c r="D66">
        <f>+COUNTIF(desglose!Q:Q,'pruebas de bondad de ajuste'!$A66)/'estadísticos descriptivos'!D$2</f>
        <v>0</v>
      </c>
      <c r="E66" s="4">
        <f>+COUNTIF(desglose!R:R,'pruebas de bondad de ajuste'!$A66)/'estadísticos descriptivos'!E$2</f>
        <v>0</v>
      </c>
      <c r="F66" s="3">
        <f>+_xlfn.POISSON.DIST($A66,'estadísticos descriptivos'!B$6,0)*'estadísticos descriptivos'!B$2</f>
        <v>1.1797351173230683E-60</v>
      </c>
      <c r="G66">
        <f>+_xlfn.POISSON.DIST($A66,'estadísticos descriptivos'!C$6,0)*'estadísticos descriptivos'!C$2</f>
        <v>1.1104136087170267E-107</v>
      </c>
      <c r="H66">
        <f>+_xlfn.POISSON.DIST($A66,'estadísticos descriptivos'!D$6,0)*'estadísticos descriptivos'!D$2</f>
        <v>1.1530274590971995E-68</v>
      </c>
      <c r="I66">
        <f>+_xlfn.POISSON.DIST($A66,'estadísticos descriptivos'!E$6,0)*'estadísticos descriptivos'!E$2</f>
        <v>4.8007769878243597E-94</v>
      </c>
      <c r="J66">
        <f t="shared" si="17"/>
        <v>1.1797351173230683E-60</v>
      </c>
      <c r="K66">
        <f t="shared" si="18"/>
        <v>1.1104136087170267E-107</v>
      </c>
      <c r="L66">
        <f t="shared" si="19"/>
        <v>1.1530274590971995E-68</v>
      </c>
      <c r="M66" s="4">
        <f t="shared" si="20"/>
        <v>4.8007769878243597E-94</v>
      </c>
      <c r="N66">
        <f>BINOMDIST($A66,90,'estadísticos descriptivos'!B$6/90,0)*'estadísticos descriptivos'!B$2</f>
        <v>2.2509737880838062E-72</v>
      </c>
      <c r="O66">
        <f>BINOMDIST($A66,90,'estadísticos descriptivos'!C$6/90,0)*'estadísticos descriptivos'!C$2</f>
        <v>4.9925925370815971E-120</v>
      </c>
      <c r="P66">
        <f>BINOMDIST($A66,90,'estadísticos descriptivos'!D$6/90,0)*'estadísticos descriptivos'!D$2</f>
        <v>1.4092945426652036E-80</v>
      </c>
      <c r="Q66">
        <f>BINOMDIST($A66,90,'estadísticos descriptivos'!E$6/90,0)*'estadísticos descriptivos'!E$2</f>
        <v>2.6409013736300128E-106</v>
      </c>
      <c r="R66" s="3">
        <f t="shared" si="21"/>
        <v>2.2509737880838062E-72</v>
      </c>
      <c r="S66">
        <f t="shared" si="22"/>
        <v>4.9925925370815971E-120</v>
      </c>
      <c r="T66">
        <f t="shared" si="23"/>
        <v>1.4092945426652036E-80</v>
      </c>
      <c r="U66">
        <f t="shared" si="24"/>
        <v>2.6409013736300128E-106</v>
      </c>
      <c r="V66" s="3">
        <f t="shared" si="30"/>
        <v>1.1644939187982097E-61</v>
      </c>
      <c r="W66">
        <f t="shared" si="31"/>
        <v>1.2977676252198846E-109</v>
      </c>
      <c r="X66">
        <f t="shared" si="32"/>
        <v>-4.419519665272698E-8</v>
      </c>
      <c r="Y66" s="4">
        <f t="shared" si="33"/>
        <v>-2.4774343686194905E-93</v>
      </c>
      <c r="Z66">
        <f t="shared" si="25"/>
        <v>1.1644939187982097E-61</v>
      </c>
      <c r="AA66">
        <f t="shared" si="26"/>
        <v>1.2977676252198846E-109</v>
      </c>
      <c r="AB66">
        <f t="shared" si="27"/>
        <v>-4.4195196652726973E-8</v>
      </c>
      <c r="AC66" s="4">
        <f t="shared" si="28"/>
        <v>-2.4774343686194905E-93</v>
      </c>
    </row>
    <row r="67" spans="1:29">
      <c r="A67">
        <f t="shared" si="29"/>
        <v>63</v>
      </c>
      <c r="B67" s="3">
        <f>+COUNTIF(desglose!F:F,'pruebas de bondad de ajuste'!$A67)</f>
        <v>0</v>
      </c>
      <c r="C67">
        <f>+COUNTIF(desglose!G:G,'pruebas de bondad de ajuste'!$A67)</f>
        <v>0</v>
      </c>
      <c r="D67">
        <f>+COUNTIF(desglose!Q:Q,'pruebas de bondad de ajuste'!$A67)/'estadísticos descriptivos'!D$2</f>
        <v>0</v>
      </c>
      <c r="E67" s="4">
        <f>+COUNTIF(desglose!R:R,'pruebas de bondad de ajuste'!$A67)/'estadísticos descriptivos'!E$2</f>
        <v>0</v>
      </c>
      <c r="F67" s="3">
        <f>+_xlfn.POISSON.DIST($A67,'estadísticos descriptivos'!B$6,0)*'estadísticos descriptivos'!B$2</f>
        <v>4.7617426504197057E-62</v>
      </c>
      <c r="G67">
        <f>+_xlfn.POISSON.DIST($A67,'estadísticos descriptivos'!C$6,0)*'estadísticos descriptivos'!C$2</f>
        <v>7.5538340729048791E-110</v>
      </c>
      <c r="H67">
        <f>+_xlfn.POISSON.DIST($A67,'estadísticos descriptivos'!D$6,0)*'estadísticos descriptivos'!D$2</f>
        <v>3.4570488191627137E-70</v>
      </c>
      <c r="I67">
        <f>+_xlfn.POISSON.DIST($A67,'estadísticos descriptivos'!E$6,0)*'estadísticos descriptivos'!E$2</f>
        <v>5.503536229428268E-96</v>
      </c>
      <c r="J67">
        <f t="shared" si="17"/>
        <v>4.7617426504197057E-62</v>
      </c>
      <c r="K67">
        <f t="shared" si="18"/>
        <v>7.5538340729048791E-110</v>
      </c>
      <c r="L67">
        <f t="shared" si="19"/>
        <v>3.4570488191627137E-70</v>
      </c>
      <c r="M67" s="4">
        <f t="shared" si="20"/>
        <v>5.5035362294282688E-96</v>
      </c>
      <c r="N67">
        <f>BINOMDIST($A67,90,'estadísticos descriptivos'!B$6/90,0)*'estadísticos descriptivos'!B$2</f>
        <v>2.9088049241635731E-74</v>
      </c>
      <c r="O67">
        <f>BINOMDIST($A67,90,'estadísticos descriptivos'!C$6/90,0)*'estadísticos descriptivos'!C$2</f>
        <v>1.0616890031008354E-122</v>
      </c>
      <c r="P67">
        <f>BINOMDIST($A67,90,'estadísticos descriptivos'!D$6/90,0)*'estadísticos descriptivos'!D$2</f>
        <v>1.3427494591737759E-82</v>
      </c>
      <c r="Q67">
        <f>BINOMDIST($A67,90,'estadísticos descriptivos'!E$6/90,0)*'estadísticos descriptivos'!E$2</f>
        <v>9.495047461021696E-109</v>
      </c>
      <c r="R67" s="3">
        <f t="shared" si="21"/>
        <v>2.9088049241635731E-74</v>
      </c>
      <c r="S67">
        <f t="shared" si="22"/>
        <v>1.0616890031008354E-122</v>
      </c>
      <c r="T67">
        <f t="shared" si="23"/>
        <v>1.3427494591737759E-82</v>
      </c>
      <c r="U67">
        <f t="shared" si="24"/>
        <v>9.495047461021696E-109</v>
      </c>
      <c r="V67" s="3">
        <f t="shared" si="30"/>
        <v>4.9168381552938932E-63</v>
      </c>
      <c r="W67">
        <f t="shared" si="31"/>
        <v>8.6904082045972776E-112</v>
      </c>
      <c r="X67">
        <f t="shared" si="32"/>
        <v>4.2381827619489619E-8</v>
      </c>
      <c r="Y67" s="4">
        <f t="shared" si="33"/>
        <v>1.1046010245186321E-94</v>
      </c>
      <c r="Z67">
        <f t="shared" si="25"/>
        <v>4.9168381552938932E-63</v>
      </c>
      <c r="AA67">
        <f t="shared" si="26"/>
        <v>8.6904082045972776E-112</v>
      </c>
      <c r="AB67">
        <f t="shared" si="27"/>
        <v>4.2381827619489619E-8</v>
      </c>
      <c r="AC67" s="4">
        <f t="shared" si="28"/>
        <v>1.1046010245186321E-94</v>
      </c>
    </row>
    <row r="68" spans="1:29">
      <c r="A68">
        <f t="shared" si="29"/>
        <v>64</v>
      </c>
      <c r="B68" s="3">
        <f>+COUNTIF(desglose!F:F,'pruebas de bondad de ajuste'!$A68)</f>
        <v>0</v>
      </c>
      <c r="C68">
        <f>+COUNTIF(desglose!G:G,'pruebas de bondad de ajuste'!$A68)</f>
        <v>0</v>
      </c>
      <c r="D68">
        <f>+COUNTIF(desglose!Q:Q,'pruebas de bondad de ajuste'!$A68)/'estadísticos descriptivos'!D$2</f>
        <v>0</v>
      </c>
      <c r="E68" s="4">
        <f>+COUNTIF(desglose!R:R,'pruebas de bondad de ajuste'!$A68)/'estadísticos descriptivos'!E$2</f>
        <v>0</v>
      </c>
      <c r="F68" s="3">
        <f>+_xlfn.POISSON.DIST($A68,'estadísticos descriptivos'!B$6,0)*'estadísticos descriptivos'!B$2</f>
        <v>1.8919423923542379E-63</v>
      </c>
      <c r="G68">
        <f>+_xlfn.POISSON.DIST($A68,'estadísticos descriptivos'!C$6,0)*'estadísticos descriptivos'!C$2</f>
        <v>5.058371030963045E-112</v>
      </c>
      <c r="H68">
        <f>+_xlfn.POISSON.DIST($A68,'estadísticos descriptivos'!D$6,0)*'estadísticos descriptivos'!D$2</f>
        <v>1.0203095473223141E-71</v>
      </c>
      <c r="I68">
        <f>+_xlfn.POISSON.DIST($A68,'estadísticos descriptivos'!E$6,0)*'estadísticos descriptivos'!E$2</f>
        <v>6.2105877589033506E-98</v>
      </c>
      <c r="J68">
        <f t="shared" ref="J68:J94" si="34">+($B68-F68)^2/F68</f>
        <v>1.8919423923542379E-63</v>
      </c>
      <c r="K68">
        <f t="shared" ref="K68:K94" si="35">+($C68-G68)^2/G68</f>
        <v>5.058371030963045E-112</v>
      </c>
      <c r="L68">
        <f t="shared" ref="L68:L94" si="36">+($D68-H68)^2/H68</f>
        <v>1.0203095473223141E-71</v>
      </c>
      <c r="M68" s="4">
        <f t="shared" ref="M68:M94" si="37">+($E68-I68)^2/I68</f>
        <v>6.2105877589033506E-98</v>
      </c>
      <c r="N68">
        <f>BINOMDIST($A68,90,'estadísticos descriptivos'!B$6/90,0)*'estadísticos descriptivos'!B$2</f>
        <v>3.5680017931053574E-76</v>
      </c>
      <c r="O68">
        <f>BINOMDIST($A68,90,'estadísticos descriptivos'!C$6/90,0)*'estadísticos descriptivos'!C$2</f>
        <v>2.1430624314983594E-125</v>
      </c>
      <c r="P68">
        <f>BINOMDIST($A68,90,'estadísticos descriptivos'!D$6/90,0)*'estadísticos descriptivos'!D$2</f>
        <v>1.2143797323470017E-84</v>
      </c>
      <c r="Q68">
        <f>BINOMDIST($A68,90,'estadísticos descriptivos'!E$6/90,0)*'estadísticos descriptivos'!E$2</f>
        <v>3.2404729881170237E-111</v>
      </c>
      <c r="R68" s="3">
        <f t="shared" ref="R68:R94" si="38">+($B68-N68)^2/N68</f>
        <v>3.5680017931053574E-76</v>
      </c>
      <c r="S68">
        <f t="shared" ref="S68:S94" si="39">+($C68-O68)^2/O68</f>
        <v>2.1430624314983594E-125</v>
      </c>
      <c r="T68">
        <f t="shared" ref="T68:T94" si="40">+($D68-P68)^2/P68</f>
        <v>1.2143797323470017E-84</v>
      </c>
      <c r="U68">
        <f t="shared" ref="U68:U94" si="41">+($E68-Q68)^2/Q68</f>
        <v>3.240472988117024E-111</v>
      </c>
      <c r="V68" s="3">
        <f t="shared" si="30"/>
        <v>2.0460902311498053E-64</v>
      </c>
      <c r="W68">
        <f t="shared" si="31"/>
        <v>5.7299394755585344E-114</v>
      </c>
      <c r="X68">
        <f t="shared" si="32"/>
        <v>-4.0692574805620251E-8</v>
      </c>
      <c r="Y68" s="4">
        <f t="shared" si="33"/>
        <v>-4.9468309898595388E-96</v>
      </c>
      <c r="Z68">
        <f t="shared" ref="Z68:Z94" si="42">+($B68-V68)^2/V68</f>
        <v>2.0460902311498053E-64</v>
      </c>
      <c r="AA68">
        <f t="shared" ref="AA68:AA94" si="43">+($C68-W68)^2/W68</f>
        <v>5.7299394755585344E-114</v>
      </c>
      <c r="AB68">
        <f t="shared" ref="AB68:AB94" si="44">+($D68-X68)^2/X68</f>
        <v>-4.0692574805620251E-8</v>
      </c>
      <c r="AC68" s="4">
        <f t="shared" ref="AC68:AC94" si="45">+($E68-Y68)^2/Y68</f>
        <v>-4.9468309898595388E-96</v>
      </c>
    </row>
    <row r="69" spans="1:29">
      <c r="A69">
        <f t="shared" ref="A69:A94" si="46">1+A68</f>
        <v>65</v>
      </c>
      <c r="B69" s="3">
        <f>+COUNTIF(desglose!F:F,'pruebas de bondad de ajuste'!$A69)</f>
        <v>0</v>
      </c>
      <c r="C69">
        <f>+COUNTIF(desglose!G:G,'pruebas de bondad de ajuste'!$A69)</f>
        <v>0</v>
      </c>
      <c r="D69">
        <f>+COUNTIF(desglose!Q:Q,'pruebas de bondad de ajuste'!$A69)/'estadísticos descriptivos'!D$2</f>
        <v>0</v>
      </c>
      <c r="E69" s="4">
        <f>+COUNTIF(desglose!R:R,'pruebas de bondad de ajuste'!$A69)/'estadísticos descriptivos'!E$2</f>
        <v>0</v>
      </c>
      <c r="F69" s="3">
        <f>+_xlfn.POISSON.DIST($A69,'estadísticos descriptivos'!B$6,0)*'estadísticos descriptivos'!B$2</f>
        <v>7.4014449634957043E-65</v>
      </c>
      <c r="G69">
        <f>+_xlfn.POISSON.DIST($A69,'estadísticos descriptivos'!C$6,0)*'estadísticos descriptivos'!C$2</f>
        <v>3.3351896907449379E-114</v>
      </c>
      <c r="H69">
        <f>+_xlfn.POISSON.DIST($A69,'estadísticos descriptivos'!D$6,0)*'estadísticos descriptivos'!D$2</f>
        <v>2.9650021033297922E-73</v>
      </c>
      <c r="I69">
        <f>+_xlfn.POISSON.DIST($A69,'estadísticos descriptivos'!E$6,0)*'estadísticos descriptivos'!E$2</f>
        <v>6.900653065448291E-100</v>
      </c>
      <c r="J69">
        <f t="shared" si="34"/>
        <v>7.4014449634957043E-65</v>
      </c>
      <c r="K69">
        <f t="shared" si="35"/>
        <v>3.3351896907449379E-114</v>
      </c>
      <c r="L69">
        <f t="shared" si="36"/>
        <v>2.9650021033297922E-73</v>
      </c>
      <c r="M69" s="4">
        <f t="shared" si="37"/>
        <v>6.900653065448291E-100</v>
      </c>
      <c r="N69">
        <f>BINOMDIST($A69,90,'estadísticos descriptivos'!B$6/90,0)*'estadísticos descriptivos'!B$2</f>
        <v>4.149652526447192E-78</v>
      </c>
      <c r="O69">
        <f>BINOMDIST($A69,90,'estadísticos descriptivos'!C$6/90,0)*'estadísticos descriptivos'!C$2</f>
        <v>4.1015548928200039E-128</v>
      </c>
      <c r="P69">
        <f>BINOMDIST($A69,90,'estadísticos descriptivos'!D$6/90,0)*'estadísticos descriptivos'!D$2</f>
        <v>1.04133444892304E-86</v>
      </c>
      <c r="Q69">
        <f>BINOMDIST($A69,90,'estadísticos descriptivos'!E$6/90,0)*'estadísticos descriptivos'!E$2</f>
        <v>1.0485662438213128E-113</v>
      </c>
      <c r="R69" s="3">
        <f t="shared" si="38"/>
        <v>4.149652526447192E-78</v>
      </c>
      <c r="S69">
        <f t="shared" si="39"/>
        <v>4.1015548928200039E-128</v>
      </c>
      <c r="T69">
        <f t="shared" si="40"/>
        <v>1.04133444892304E-86</v>
      </c>
      <c r="U69">
        <f t="shared" si="41"/>
        <v>1.0485662438213128E-113</v>
      </c>
      <c r="V69" s="3">
        <f t="shared" ref="V69:V94" si="47">+($A69+AD$1)/(($A69+1)*(1+AD$2))*V68</f>
        <v>8.3937537164488598E-66</v>
      </c>
      <c r="W69">
        <f t="shared" ref="W69:W94" si="48">+($A69+AE$1)/(($A69+1)*(1+AE$2))*W68</f>
        <v>3.7207399191937806E-116</v>
      </c>
      <c r="X69">
        <f t="shared" ref="X69:X94" si="49">+($A69+AF$1)/(($A69+1)*(1+AF$2))*X68</f>
        <v>3.9116936387220832E-8</v>
      </c>
      <c r="Y69" s="4">
        <f t="shared" ref="Y69:Y94" si="50">+($A69+AG$1)/(($A69+1)*(1+AG$2))*Y68</f>
        <v>2.2248506461650567E-97</v>
      </c>
      <c r="Z69">
        <f t="shared" si="42"/>
        <v>8.3937537164488598E-66</v>
      </c>
      <c r="AA69">
        <f t="shared" si="43"/>
        <v>3.72073991919378E-116</v>
      </c>
      <c r="AB69">
        <f t="shared" si="44"/>
        <v>3.9116936387220832E-8</v>
      </c>
      <c r="AC69" s="4">
        <f t="shared" si="45"/>
        <v>2.2248506461650567E-97</v>
      </c>
    </row>
    <row r="70" spans="1:29">
      <c r="A70">
        <f t="shared" si="46"/>
        <v>66</v>
      </c>
      <c r="B70" s="3">
        <f>+COUNTIF(desglose!F:F,'pruebas de bondad de ajuste'!$A70)</f>
        <v>0</v>
      </c>
      <c r="C70">
        <f>+COUNTIF(desglose!G:G,'pruebas de bondad de ajuste'!$A70)</f>
        <v>0</v>
      </c>
      <c r="D70">
        <f>+COUNTIF(desglose!Q:Q,'pruebas de bondad de ajuste'!$A70)/'estadísticos descriptivos'!D$2</f>
        <v>0</v>
      </c>
      <c r="E70" s="4">
        <f>+COUNTIF(desglose!R:R,'pruebas de bondad de ajuste'!$A70)/'estadísticos descriptivos'!E$2</f>
        <v>0</v>
      </c>
      <c r="F70" s="3">
        <f>+_xlfn.POISSON.DIST($A70,'estadísticos descriptivos'!B$6,0)*'estadísticos descriptivos'!B$2</f>
        <v>2.8516389686196237E-66</v>
      </c>
      <c r="G70">
        <f>+_xlfn.POISSON.DIST($A70,'estadísticos descriptivos'!C$6,0)*'estadísticos descriptivos'!C$2</f>
        <v>2.1657075913927583E-116</v>
      </c>
      <c r="H70">
        <f>+_xlfn.POISSON.DIST($A70,'estadísticos descriptivos'!D$6,0)*'estadísticos descriptivos'!D$2</f>
        <v>8.4856962553211228E-75</v>
      </c>
      <c r="I70">
        <f>+_xlfn.POISSON.DIST($A70,'estadísticos descriptivos'!E$6,0)*'estadísticos descriptivos'!E$2</f>
        <v>7.5512196844129574E-102</v>
      </c>
      <c r="J70">
        <f t="shared" si="34"/>
        <v>2.8516389686196237E-66</v>
      </c>
      <c r="K70">
        <f t="shared" si="35"/>
        <v>2.1657075913927581E-116</v>
      </c>
      <c r="L70">
        <f t="shared" si="36"/>
        <v>8.4856962553211228E-75</v>
      </c>
      <c r="M70" s="4">
        <f t="shared" si="37"/>
        <v>7.5512196844129574E-102</v>
      </c>
      <c r="N70">
        <f>BINOMDIST($A70,90,'estadísticos descriptivos'!B$6/90,0)*'estadísticos descriptivos'!B$2</f>
        <v>4.5701923867945154E-80</v>
      </c>
      <c r="O70">
        <f>BINOMDIST($A70,90,'estadísticos descriptivos'!C$6/90,0)*'estadísticos descriptivos'!C$2</f>
        <v>7.4335850602069125E-131</v>
      </c>
      <c r="P70">
        <f>BINOMDIST($A70,90,'estadísticos descriptivos'!D$6/90,0)*'estadísticos descriptivos'!D$2</f>
        <v>8.4559429246876586E-89</v>
      </c>
      <c r="Q70">
        <f>BINOMDIST($A70,90,'estadísticos descriptivos'!E$6/90,0)*'estadísticos descriptivos'!E$2</f>
        <v>3.2130643325784019E-116</v>
      </c>
      <c r="R70" s="3">
        <f t="shared" si="38"/>
        <v>4.5701923867945154E-80</v>
      </c>
      <c r="S70">
        <f t="shared" si="39"/>
        <v>7.4335850602069125E-131</v>
      </c>
      <c r="T70">
        <f t="shared" si="40"/>
        <v>8.4559429246876586E-89</v>
      </c>
      <c r="U70">
        <f t="shared" si="41"/>
        <v>3.2130643325784019E-116</v>
      </c>
      <c r="V70" s="3">
        <f t="shared" si="47"/>
        <v>3.3953107947479141E-67</v>
      </c>
      <c r="W70">
        <f t="shared" si="48"/>
        <v>2.3800042127038635E-118</v>
      </c>
      <c r="X70">
        <f t="shared" si="49"/>
        <v>-3.7645471503853206E-8</v>
      </c>
      <c r="Y70" s="4">
        <f t="shared" si="50"/>
        <v>-1.0047638563679536E-98</v>
      </c>
      <c r="Z70">
        <f t="shared" si="42"/>
        <v>3.3953107947479141E-67</v>
      </c>
      <c r="AA70">
        <f t="shared" si="43"/>
        <v>2.3800042127038635E-118</v>
      </c>
      <c r="AB70">
        <f t="shared" si="44"/>
        <v>-3.7645471503853206E-8</v>
      </c>
      <c r="AC70" s="4">
        <f t="shared" si="45"/>
        <v>-1.0047638563679536E-98</v>
      </c>
    </row>
    <row r="71" spans="1:29">
      <c r="A71">
        <f t="shared" si="46"/>
        <v>67</v>
      </c>
      <c r="B71" s="3">
        <f>+COUNTIF(desglose!F:F,'pruebas de bondad de ajuste'!$A71)</f>
        <v>0</v>
      </c>
      <c r="C71">
        <f>+COUNTIF(desglose!G:G,'pruebas de bondad de ajuste'!$A71)</f>
        <v>0</v>
      </c>
      <c r="D71">
        <f>+COUNTIF(desglose!Q:Q,'pruebas de bondad de ajuste'!$A71)/'estadísticos descriptivos'!D$2</f>
        <v>0</v>
      </c>
      <c r="E71" s="4">
        <f>+COUNTIF(desglose!R:R,'pruebas de bondad de ajuste'!$A71)/'estadísticos descriptivos'!E$2</f>
        <v>0</v>
      </c>
      <c r="F71" s="3">
        <f>+_xlfn.POISSON.DIST($A71,'estadísticos descriptivos'!B$6,0)*'estadísticos descriptivos'!B$2</f>
        <v>1.0822851522692723E-67</v>
      </c>
      <c r="G71">
        <f>+_xlfn.POISSON.DIST($A71,'estadísticos descriptivos'!C$6,0)*'estadísticos descriptivos'!C$2</f>
        <v>1.3853140243450289E-118</v>
      </c>
      <c r="H71">
        <f>+_xlfn.POISSON.DIST($A71,'estadísticos descriptivos'!D$6,0)*'estadísticos descriptivos'!D$2</f>
        <v>2.392319010621251E-76</v>
      </c>
      <c r="I71">
        <f>+_xlfn.POISSON.DIST($A71,'estadísticos descriptivos'!E$6,0)*'estadísticos descriptivos'!E$2</f>
        <v>8.1397890462161447E-104</v>
      </c>
      <c r="J71">
        <f t="shared" si="34"/>
        <v>1.0822851522692723E-67</v>
      </c>
      <c r="K71">
        <f t="shared" si="35"/>
        <v>1.3853140243450289E-118</v>
      </c>
      <c r="L71">
        <f t="shared" si="36"/>
        <v>2.392319010621251E-76</v>
      </c>
      <c r="M71" s="4">
        <f t="shared" si="37"/>
        <v>8.1397890462161447E-104</v>
      </c>
      <c r="N71">
        <f>BINOMDIST($A71,90,'estadísticos descriptivos'!B$6/90,0)*'estadísticos descriptivos'!B$2</f>
        <v>4.7598974767748116E-82</v>
      </c>
      <c r="O71">
        <f>BINOMDIST($A71,90,'estadísticos descriptivos'!C$6/90,0)*'estadísticos descriptivos'!C$2</f>
        <v>1.2740558554949846E-133</v>
      </c>
      <c r="P71">
        <f>BINOMDIST($A71,90,'estadísticos descriptivos'!D$6/90,0)*'estadísticos descriptivos'!D$2</f>
        <v>6.4934307904475513E-91</v>
      </c>
      <c r="Q71">
        <f>BINOMDIST($A71,90,'estadísticos descriptivos'!E$6/90,0)*'estadísticos descriptivos'!E$2</f>
        <v>9.3107214868203056E-119</v>
      </c>
      <c r="R71" s="3">
        <f t="shared" si="38"/>
        <v>4.7598974767748116E-82</v>
      </c>
      <c r="S71">
        <f t="shared" si="39"/>
        <v>1.2740558554949844E-133</v>
      </c>
      <c r="T71">
        <f t="shared" si="40"/>
        <v>6.4934307904475513E-91</v>
      </c>
      <c r="U71">
        <f t="shared" si="41"/>
        <v>9.3107214868203056E-119</v>
      </c>
      <c r="V71" s="3">
        <f t="shared" si="47"/>
        <v>1.3545375961597836E-68</v>
      </c>
      <c r="W71">
        <f t="shared" si="48"/>
        <v>1.50000265506543E-120</v>
      </c>
      <c r="X71">
        <f t="shared" si="49"/>
        <v>3.6269677322961228E-8</v>
      </c>
      <c r="Y71" s="4">
        <f t="shared" si="50"/>
        <v>4.5557181607139049E-100</v>
      </c>
      <c r="Z71">
        <f t="shared" si="42"/>
        <v>1.3545375961597834E-68</v>
      </c>
      <c r="AA71">
        <f t="shared" si="43"/>
        <v>1.50000265506543E-120</v>
      </c>
      <c r="AB71">
        <f t="shared" si="44"/>
        <v>3.6269677322961228E-8</v>
      </c>
      <c r="AC71" s="4">
        <f t="shared" si="45"/>
        <v>4.5557181607139049E-100</v>
      </c>
    </row>
    <row r="72" spans="1:29">
      <c r="A72">
        <f t="shared" si="46"/>
        <v>68</v>
      </c>
      <c r="B72" s="3">
        <f>+COUNTIF(desglose!F:F,'pruebas de bondad de ajuste'!$A72)</f>
        <v>0</v>
      </c>
      <c r="C72">
        <f>+COUNTIF(desglose!G:G,'pruebas de bondad de ajuste'!$A72)</f>
        <v>0</v>
      </c>
      <c r="D72">
        <f>+COUNTIF(desglose!Q:Q,'pruebas de bondad de ajuste'!$A72)/'estadísticos descriptivos'!D$2</f>
        <v>0</v>
      </c>
      <c r="E72" s="4">
        <f>+COUNTIF(desglose!R:R,'pruebas de bondad de ajuste'!$A72)/'estadísticos descriptivos'!E$2</f>
        <v>0</v>
      </c>
      <c r="F72" s="3">
        <f>+_xlfn.POISSON.DIST($A72,'estadísticos descriptivos'!B$6,0)*'estadísticos descriptivos'!B$2</f>
        <v>4.0472007794943355E-69</v>
      </c>
      <c r="G72">
        <f>+_xlfn.POISSON.DIST($A72,'estadísticos descriptivos'!C$6,0)*'estadísticos descriptivos'!C$2</f>
        <v>8.7309707416702558E-121</v>
      </c>
      <c r="H72">
        <f>+_xlfn.POISSON.DIST($A72,'estadísticos descriptivos'!D$6,0)*'estadísticos descriptivos'!D$2</f>
        <v>6.645330585059003E-78</v>
      </c>
      <c r="I72">
        <f>+_xlfn.POISSON.DIST($A72,'estadísticos descriptivos'!E$6,0)*'estadísticos descriptivos'!E$2</f>
        <v>8.645200784379829E-106</v>
      </c>
      <c r="J72">
        <f t="shared" si="34"/>
        <v>4.0472007794943355E-69</v>
      </c>
      <c r="K72">
        <f t="shared" si="35"/>
        <v>8.7309707416702558E-121</v>
      </c>
      <c r="L72">
        <f t="shared" si="36"/>
        <v>6.645330585059003E-78</v>
      </c>
      <c r="M72" s="4">
        <f t="shared" si="37"/>
        <v>8.645200784379829E-106</v>
      </c>
      <c r="N72">
        <f>BINOMDIST($A72,90,'estadísticos descriptivos'!B$6/90,0)*'estadísticos descriptivos'!B$2</f>
        <v>4.6810491260822766E-84</v>
      </c>
      <c r="O72">
        <f>BINOMDIST($A72,90,'estadísticos descriptivos'!C$6/90,0)*'estadísticos descriptivos'!C$2</f>
        <v>2.06186917227587E-136</v>
      </c>
      <c r="P72">
        <f>BINOMDIST($A72,90,'estadísticos descriptivos'!D$6/90,0)*'estadísticos descriptivos'!D$2</f>
        <v>4.708351455872922E-93</v>
      </c>
      <c r="Q72">
        <f>BINOMDIST($A72,90,'estadísticos descriptivos'!E$6/90,0)*'estadísticos descriptivos'!E$2</f>
        <v>2.5475911678312777E-121</v>
      </c>
      <c r="R72" s="3">
        <f t="shared" si="38"/>
        <v>4.6810491260822766E-84</v>
      </c>
      <c r="S72">
        <f t="shared" si="39"/>
        <v>2.06186917227587E-136</v>
      </c>
      <c r="T72">
        <f t="shared" si="40"/>
        <v>4.708351455872922E-93</v>
      </c>
      <c r="U72">
        <f t="shared" si="41"/>
        <v>2.5475911678312777E-121</v>
      </c>
      <c r="V72" s="3">
        <f t="shared" si="47"/>
        <v>5.3307011086643726E-70</v>
      </c>
      <c r="W72">
        <f t="shared" si="48"/>
        <v>9.3167866774248396E-123</v>
      </c>
      <c r="X72">
        <f t="shared" si="49"/>
        <v>-3.4981882084724514E-8</v>
      </c>
      <c r="Y72" s="4">
        <f t="shared" si="50"/>
        <v>-2.073589058735129E-101</v>
      </c>
      <c r="Z72">
        <f t="shared" si="42"/>
        <v>5.3307011086643726E-70</v>
      </c>
      <c r="AA72">
        <f t="shared" si="43"/>
        <v>9.3167866774248396E-123</v>
      </c>
      <c r="AB72">
        <f t="shared" si="44"/>
        <v>-3.4981882084724514E-8</v>
      </c>
      <c r="AC72" s="4">
        <f t="shared" si="45"/>
        <v>-2.073589058735129E-101</v>
      </c>
    </row>
    <row r="73" spans="1:29">
      <c r="A73">
        <f t="shared" si="46"/>
        <v>69</v>
      </c>
      <c r="B73" s="3">
        <f>+COUNTIF(desglose!F:F,'pruebas de bondad de ajuste'!$A73)</f>
        <v>0</v>
      </c>
      <c r="C73">
        <f>+COUNTIF(desglose!G:G,'pruebas de bondad de ajuste'!$A73)</f>
        <v>0</v>
      </c>
      <c r="D73">
        <f>+COUNTIF(desglose!Q:Q,'pruebas de bondad de ajuste'!$A73)/'estadísticos descriptivos'!D$2</f>
        <v>0</v>
      </c>
      <c r="E73" s="4">
        <f>+COUNTIF(desglose!R:R,'pruebas de bondad de ajuste'!$A73)/'estadísticos descriptivos'!E$2</f>
        <v>0</v>
      </c>
      <c r="F73" s="3">
        <f>+_xlfn.POISSON.DIST($A73,'estadísticos descriptivos'!B$6,0)*'estadísticos descriptivos'!B$2</f>
        <v>1.4915149870599899E-70</v>
      </c>
      <c r="G73">
        <f>+_xlfn.POISSON.DIST($A73,'estadísticos descriptivos'!C$6,0)*'estadísticos descriptivos'!C$2</f>
        <v>5.4229631935840002E-123</v>
      </c>
      <c r="H73">
        <f>+_xlfn.POISSON.DIST($A73,'estadísticos descriptivos'!D$6,0)*'estadísticos descriptivos'!D$2</f>
        <v>1.8191726239291992E-79</v>
      </c>
      <c r="I73">
        <f>+_xlfn.POISSON.DIST($A73,'estadísticos descriptivos'!E$6,0)*'estadísticos descriptivos'!E$2</f>
        <v>9.0489219160175105E-108</v>
      </c>
      <c r="J73">
        <f t="shared" si="34"/>
        <v>1.4915149870599899E-70</v>
      </c>
      <c r="K73">
        <f t="shared" si="35"/>
        <v>5.4229631935840009E-123</v>
      </c>
      <c r="L73">
        <f t="shared" si="36"/>
        <v>1.8191726239291992E-79</v>
      </c>
      <c r="M73" s="4">
        <f t="shared" si="37"/>
        <v>9.0489219160175105E-108</v>
      </c>
      <c r="N73">
        <f>BINOMDIST($A73,90,'estadísticos descriptivos'!B$6/90,0)*'estadísticos descriptivos'!B$2</f>
        <v>4.3395377038237001E-86</v>
      </c>
      <c r="O73">
        <f>BINOMDIST($A73,90,'estadísticos descriptivos'!C$6/90,0)*'estadísticos descriptivos'!C$2</f>
        <v>3.1454907281097083E-139</v>
      </c>
      <c r="P73">
        <f>BINOMDIST($A73,90,'estadísticos descriptivos'!D$6/90,0)*'estadísticos descriptivos'!D$2</f>
        <v>3.2182382888252345E-95</v>
      </c>
      <c r="Q73">
        <f>BINOMDIST($A73,90,'estadísticos descriptivos'!E$6/90,0)*'estadísticos descriptivos'!E$2</f>
        <v>6.5709899082792506E-124</v>
      </c>
      <c r="R73" s="3">
        <f t="shared" si="38"/>
        <v>4.3395377038237001E-86</v>
      </c>
      <c r="S73">
        <f t="shared" si="39"/>
        <v>3.1454907281097083E-139</v>
      </c>
      <c r="T73">
        <f t="shared" si="40"/>
        <v>3.2182382888252345E-95</v>
      </c>
      <c r="U73">
        <f t="shared" si="41"/>
        <v>6.5709899082792506E-124</v>
      </c>
      <c r="V73" s="3">
        <f t="shared" si="47"/>
        <v>2.069903789431655E-71</v>
      </c>
      <c r="W73">
        <f t="shared" si="48"/>
        <v>5.7041551086273349E-125</v>
      </c>
      <c r="X73">
        <f t="shared" si="49"/>
        <v>3.3775151835300649E-8</v>
      </c>
      <c r="Y73" s="4">
        <f t="shared" si="50"/>
        <v>9.4734373682852272E-103</v>
      </c>
      <c r="Z73">
        <f t="shared" si="42"/>
        <v>2.069903789431655E-71</v>
      </c>
      <c r="AA73">
        <f t="shared" si="43"/>
        <v>5.7041551086273349E-125</v>
      </c>
      <c r="AB73">
        <f t="shared" si="44"/>
        <v>3.3775151835300649E-8</v>
      </c>
      <c r="AC73" s="4">
        <f t="shared" si="45"/>
        <v>9.4734373682852272E-103</v>
      </c>
    </row>
    <row r="74" spans="1:29">
      <c r="A74">
        <f t="shared" si="46"/>
        <v>70</v>
      </c>
      <c r="B74" s="3">
        <f>+COUNTIF(desglose!F:F,'pruebas de bondad de ajuste'!$A74)</f>
        <v>0</v>
      </c>
      <c r="C74">
        <f>+COUNTIF(desglose!G:G,'pruebas de bondad de ajuste'!$A74)</f>
        <v>0</v>
      </c>
      <c r="D74">
        <f>+COUNTIF(desglose!Q:Q,'pruebas de bondad de ajuste'!$A74)/'estadísticos descriptivos'!D$2</f>
        <v>0</v>
      </c>
      <c r="E74" s="4">
        <f>+COUNTIF(desglose!R:R,'pruebas de bondad de ajuste'!$A74)/'estadísticos descriptivos'!E$2</f>
        <v>0</v>
      </c>
      <c r="F74" s="3">
        <f>+_xlfn.POISSON.DIST($A74,'estadísticos descriptivos'!B$6,0)*'estadísticos descriptivos'!B$2</f>
        <v>5.4181564836059567E-72</v>
      </c>
      <c r="G74">
        <f>+_xlfn.POISSON.DIST($A74,'estadísticos descriptivos'!C$6,0)*'estadísticos descriptivos'!C$2</f>
        <v>3.320181547092445E-125</v>
      </c>
      <c r="H74">
        <f>+_xlfn.POISSON.DIST($A74,'estadísticos descriptivos'!D$6,0)*'estadísticos descriptivos'!D$2</f>
        <v>4.9088785090152564E-81</v>
      </c>
      <c r="I74">
        <f>+_xlfn.POISSON.DIST($A74,'estadísticos descriptivos'!E$6,0)*'estadísticos descriptivos'!E$2</f>
        <v>9.3361892784312919E-110</v>
      </c>
      <c r="J74">
        <f t="shared" si="34"/>
        <v>5.4181564836059567E-72</v>
      </c>
      <c r="K74">
        <f t="shared" si="35"/>
        <v>3.320181547092445E-125</v>
      </c>
      <c r="L74">
        <f t="shared" si="36"/>
        <v>4.9088785090152564E-81</v>
      </c>
      <c r="M74" s="4">
        <f t="shared" si="37"/>
        <v>9.3361892784312919E-110</v>
      </c>
      <c r="N74">
        <f>BINOMDIST($A74,90,'estadísticos descriptivos'!B$6/90,0)*'estadísticos descriptivos'!B$2</f>
        <v>3.785222368248775E-88</v>
      </c>
      <c r="O74">
        <f>BINOMDIST($A74,90,'estadísticos descriptivos'!C$6/90,0)*'estadísticos descriptivos'!C$2</f>
        <v>4.5150584614015957E-142</v>
      </c>
      <c r="P74">
        <f>BINOMDIST($A74,90,'estadísticos descriptivos'!D$6/90,0)*'estadísticos descriptivos'!D$2</f>
        <v>2.0697371088282569E-97</v>
      </c>
      <c r="Q74">
        <f>BINOMDIST($A74,90,'estadísticos descriptivos'!E$6/90,0)*'estadísticos descriptivos'!E$2</f>
        <v>1.5947019690285318E-126</v>
      </c>
      <c r="R74" s="3">
        <f t="shared" si="38"/>
        <v>3.785222368248775E-88</v>
      </c>
      <c r="S74">
        <f t="shared" si="39"/>
        <v>4.5150584614015957E-142</v>
      </c>
      <c r="T74">
        <f t="shared" si="40"/>
        <v>2.0697371088282569E-97</v>
      </c>
      <c r="U74">
        <f t="shared" si="41"/>
        <v>1.5947019690285318E-126</v>
      </c>
      <c r="V74" s="3">
        <f t="shared" si="47"/>
        <v>7.9318917250352077E-73</v>
      </c>
      <c r="W74">
        <f t="shared" si="48"/>
        <v>3.4431519770385601E-127</v>
      </c>
      <c r="X74">
        <f t="shared" si="49"/>
        <v>-3.2643208914681416E-8</v>
      </c>
      <c r="Y74" s="4">
        <f t="shared" si="50"/>
        <v>-4.3437034334969067E-104</v>
      </c>
      <c r="Z74">
        <f t="shared" si="42"/>
        <v>7.9318917250352077E-73</v>
      </c>
      <c r="AA74">
        <f t="shared" si="43"/>
        <v>3.4431519770385601E-127</v>
      </c>
      <c r="AB74">
        <f t="shared" si="44"/>
        <v>-3.2643208914681416E-8</v>
      </c>
      <c r="AC74" s="4">
        <f t="shared" si="45"/>
        <v>-4.3437034334969067E-104</v>
      </c>
    </row>
    <row r="75" spans="1:29">
      <c r="A75">
        <f t="shared" si="46"/>
        <v>71</v>
      </c>
      <c r="B75" s="3">
        <f>+COUNTIF(desglose!F:F,'pruebas de bondad de ajuste'!$A75)</f>
        <v>0</v>
      </c>
      <c r="C75">
        <f>+COUNTIF(desglose!G:G,'pruebas de bondad de ajuste'!$A75)</f>
        <v>0</v>
      </c>
      <c r="D75">
        <f>+COUNTIF(desglose!Q:Q,'pruebas de bondad de ajuste'!$A75)/'estadísticos descriptivos'!D$2</f>
        <v>0</v>
      </c>
      <c r="E75" s="4">
        <f>+COUNTIF(desglose!R:R,'pruebas de bondad de ajuste'!$A75)/'estadísticos descriptivos'!E$2</f>
        <v>0</v>
      </c>
      <c r="F75" s="3">
        <f>+_xlfn.POISSON.DIST($A75,'estadísticos descriptivos'!B$6,0)*'estadísticos descriptivos'!B$2</f>
        <v>1.9405067486556017E-73</v>
      </c>
      <c r="G75">
        <f>+_xlfn.POISSON.DIST($A75,'estadísticos descriptivos'!C$6,0)*'estadísticos descriptivos'!C$2</f>
        <v>2.0041337306392529E-127</v>
      </c>
      <c r="H75">
        <f>+_xlfn.POISSON.DIST($A75,'estadísticos descriptivos'!D$6,0)*'estadísticos descriptivos'!D$2</f>
        <v>1.305961418673889E-82</v>
      </c>
      <c r="I75">
        <f>+_xlfn.POISSON.DIST($A75,'estadísticos descriptivos'!E$6,0)*'estadísticos descriptivos'!E$2</f>
        <v>9.4969061517687142E-112</v>
      </c>
      <c r="J75">
        <f t="shared" si="34"/>
        <v>1.9405067486556017E-73</v>
      </c>
      <c r="K75">
        <f t="shared" si="35"/>
        <v>2.0041337306392529E-127</v>
      </c>
      <c r="L75">
        <f t="shared" si="36"/>
        <v>1.305961418673889E-82</v>
      </c>
      <c r="M75" s="4">
        <f t="shared" si="37"/>
        <v>9.4969061517687142E-112</v>
      </c>
      <c r="N75">
        <f>BINOMDIST($A75,90,'estadísticos descriptivos'!B$6/90,0)*'estadísticos descriptivos'!B$2</f>
        <v>3.1002000706215945E-90</v>
      </c>
      <c r="O75">
        <f>BINOMDIST($A75,90,'estadísticos descriptivos'!C$6/90,0)*'estadísticos descriptivos'!C$2</f>
        <v>6.0853945163442322E-145</v>
      </c>
      <c r="P75">
        <f>BINOMDIST($A75,90,'estadísticos descriptivos'!D$6/90,0)*'estadísticos descriptivos'!D$2</f>
        <v>1.2498634477765419E-99</v>
      </c>
      <c r="Q75">
        <f>BINOMDIST($A75,90,'estadísticos descriptivos'!E$6/90,0)*'estadísticos descriptivos'!E$2</f>
        <v>3.6339475354080087E-129</v>
      </c>
      <c r="R75" s="3">
        <f t="shared" si="38"/>
        <v>3.1002000706215945E-90</v>
      </c>
      <c r="S75">
        <f t="shared" si="39"/>
        <v>6.0853945163442322E-145</v>
      </c>
      <c r="T75">
        <f t="shared" si="40"/>
        <v>1.2498634477765419E-99</v>
      </c>
      <c r="U75">
        <f t="shared" si="41"/>
        <v>3.6339475354080087E-129</v>
      </c>
      <c r="V75" s="3">
        <f t="shared" si="47"/>
        <v>3.0001981452661258E-74</v>
      </c>
      <c r="W75">
        <f t="shared" si="48"/>
        <v>2.0494952244276706E-129</v>
      </c>
      <c r="X75">
        <f t="shared" si="49"/>
        <v>3.1580360563216629E-8</v>
      </c>
      <c r="Y75" s="4">
        <f t="shared" si="50"/>
        <v>1.9986257269947983E-105</v>
      </c>
      <c r="Z75">
        <f t="shared" si="42"/>
        <v>3.0001981452661258E-74</v>
      </c>
      <c r="AA75">
        <f t="shared" si="43"/>
        <v>2.0494952244276706E-129</v>
      </c>
      <c r="AB75">
        <f t="shared" si="44"/>
        <v>3.1580360563216629E-8</v>
      </c>
      <c r="AC75" s="4">
        <f t="shared" si="45"/>
        <v>1.9986257269947983E-105</v>
      </c>
    </row>
    <row r="76" spans="1:29">
      <c r="A76">
        <f t="shared" si="46"/>
        <v>72</v>
      </c>
      <c r="B76" s="3">
        <f>+COUNTIF(desglose!F:F,'pruebas de bondad de ajuste'!$A76)</f>
        <v>0</v>
      </c>
      <c r="C76">
        <f>+COUNTIF(desglose!G:G,'pruebas de bondad de ajuste'!$A76)</f>
        <v>0</v>
      </c>
      <c r="D76">
        <f>+COUNTIF(desglose!Q:Q,'pruebas de bondad de ajuste'!$A76)/'estadísticos descriptivos'!D$2</f>
        <v>0</v>
      </c>
      <c r="E76" s="4">
        <f>+COUNTIF(desglose!R:R,'pruebas de bondad de ajuste'!$A76)/'estadísticos descriptivos'!E$2</f>
        <v>0</v>
      </c>
      <c r="F76" s="3">
        <f>+_xlfn.POISSON.DIST($A76,'estadísticos descriptivos'!B$6,0)*'estadísticos descriptivos'!B$2</f>
        <v>6.8533770091407206E-75</v>
      </c>
      <c r="G76">
        <f>+_xlfn.POISSON.DIST($A76,'estadísticos descriptivos'!C$6,0)*'estadísticos descriptivos'!C$2</f>
        <v>1.1929367444280954E-129</v>
      </c>
      <c r="H76">
        <f>+_xlfn.POISSON.DIST($A76,'estadísticos descriptivos'!D$6,0)*'estadísticos descriptivos'!D$2</f>
        <v>3.426133351459217E-84</v>
      </c>
      <c r="I76">
        <f>+_xlfn.POISSON.DIST($A76,'estadísticos descriptivos'!E$6,0)*'estadísticos descriptivos'!E$2</f>
        <v>9.5262175905084493E-114</v>
      </c>
      <c r="J76">
        <f t="shared" si="34"/>
        <v>6.8533770091407206E-75</v>
      </c>
      <c r="K76">
        <f t="shared" si="35"/>
        <v>1.1929367444280952E-129</v>
      </c>
      <c r="L76">
        <f t="shared" si="36"/>
        <v>3.426133351459217E-84</v>
      </c>
      <c r="M76" s="4">
        <f t="shared" si="37"/>
        <v>9.5262175905084493E-114</v>
      </c>
      <c r="N76">
        <f>BINOMDIST($A76,90,'estadísticos descriptivos'!B$6/90,0)*'estadísticos descriptivos'!B$2</f>
        <v>2.3786881190883472E-92</v>
      </c>
      <c r="O76">
        <f>BINOMDIST($A76,90,'estadísticos descriptivos'!C$6/90,0)*'estadísticos descriptivos'!C$2</f>
        <v>7.6835789347782028E-148</v>
      </c>
      <c r="P76">
        <f>BINOMDIST($A76,90,'estadísticos descriptivos'!D$6/90,0)*'estadísticos descriptivos'!D$2</f>
        <v>7.070651072436198E-102</v>
      </c>
      <c r="Q76">
        <f>BINOMDIST($A76,90,'estadísticos descriptivos'!E$6/90,0)*'estadísticos descriptivos'!E$2</f>
        <v>7.7575973280591278E-132</v>
      </c>
      <c r="R76" s="3">
        <f t="shared" si="38"/>
        <v>2.3786881190883472E-92</v>
      </c>
      <c r="S76">
        <f t="shared" si="39"/>
        <v>7.6835789347782028E-148</v>
      </c>
      <c r="T76">
        <f t="shared" si="40"/>
        <v>7.070651072436198E-102</v>
      </c>
      <c r="U76">
        <f t="shared" si="41"/>
        <v>7.7575973280591278E-132</v>
      </c>
      <c r="V76" s="3">
        <f t="shared" si="47"/>
        <v>1.1203481971482575E-75</v>
      </c>
      <c r="W76">
        <f t="shared" si="48"/>
        <v>1.203226159155162E-131</v>
      </c>
      <c r="X76">
        <f t="shared" si="49"/>
        <v>-3.058143625916652E-8</v>
      </c>
      <c r="Y76" s="4">
        <f t="shared" si="50"/>
        <v>-9.2273038942296166E-107</v>
      </c>
      <c r="Z76">
        <f t="shared" si="42"/>
        <v>1.1203481971482575E-75</v>
      </c>
      <c r="AA76">
        <f t="shared" si="43"/>
        <v>1.203226159155162E-131</v>
      </c>
      <c r="AB76">
        <f t="shared" si="44"/>
        <v>-3.058143625916652E-8</v>
      </c>
      <c r="AC76" s="4">
        <f t="shared" si="45"/>
        <v>-9.2273038942296166E-107</v>
      </c>
    </row>
    <row r="77" spans="1:29">
      <c r="A77">
        <f t="shared" si="46"/>
        <v>73</v>
      </c>
      <c r="B77" s="3">
        <f>+COUNTIF(desglose!F:F,'pruebas de bondad de ajuste'!$A77)</f>
        <v>0</v>
      </c>
      <c r="C77">
        <f>+COUNTIF(desglose!G:G,'pruebas de bondad de ajuste'!$A77)</f>
        <v>0</v>
      </c>
      <c r="D77">
        <f>+COUNTIF(desglose!Q:Q,'pruebas de bondad de ajuste'!$A77)/'estadísticos descriptivos'!D$2</f>
        <v>0</v>
      </c>
      <c r="E77" s="4">
        <f>+COUNTIF(desglose!R:R,'pruebas de bondad de ajuste'!$A77)/'estadísticos descriptivos'!E$2</f>
        <v>0</v>
      </c>
      <c r="F77" s="3">
        <f>+_xlfn.POISSON.DIST($A77,'estadísticos descriptivos'!B$6,0)*'estadísticos descriptivos'!B$2</f>
        <v>2.3872820110118341E-76</v>
      </c>
      <c r="G77">
        <f>+_xlfn.POISSON.DIST($A77,'estadísticos descriptivos'!C$6,0)*'estadísticos descriptivos'!C$2</f>
        <v>7.0035425308890219E-132</v>
      </c>
      <c r="H77">
        <f>+_xlfn.POISSON.DIST($A77,'estadísticos descriptivos'!D$6,0)*'estadísticos descriptivos'!D$2</f>
        <v>8.8651852320862138E-86</v>
      </c>
      <c r="I77">
        <f>+_xlfn.POISSON.DIST($A77,'estadísticos descriptivos'!E$6,0)*'estadísticos descriptivos'!E$2</f>
        <v>9.4247205994376588E-116</v>
      </c>
      <c r="J77">
        <f t="shared" si="34"/>
        <v>2.3872820110118341E-76</v>
      </c>
      <c r="K77">
        <f t="shared" si="35"/>
        <v>7.0035425308890219E-132</v>
      </c>
      <c r="L77">
        <f t="shared" si="36"/>
        <v>8.8651852320862138E-86</v>
      </c>
      <c r="M77" s="4">
        <f t="shared" si="37"/>
        <v>9.4247205994376588E-116</v>
      </c>
      <c r="N77">
        <f>BINOMDIST($A77,90,'estadísticos descriptivos'!B$6/90,0)*'estadísticos descriptivos'!B$2</f>
        <v>1.7053511775539238E-94</v>
      </c>
      <c r="O77">
        <f>BINOMDIST($A77,90,'estadísticos descriptivos'!C$6/90,0)*'estadísticos descriptivos'!C$2</f>
        <v>9.0649813741895158E-151</v>
      </c>
      <c r="P77">
        <f>BINOMDIST($A77,90,'estadísticos descriptivos'!D$6/90,0)*'estadísticos descriptivos'!D$2</f>
        <v>3.7375308403418568E-104</v>
      </c>
      <c r="Q77">
        <f>BINOMDIST($A77,90,'estadísticos descriptivos'!E$6/90,0)*'estadísticos descriptivos'!E$2</f>
        <v>1.5474062745742325E-134</v>
      </c>
      <c r="R77" s="3">
        <f t="shared" si="38"/>
        <v>1.7053511775539235E-94</v>
      </c>
      <c r="S77">
        <f t="shared" si="39"/>
        <v>9.0649813741895158E-151</v>
      </c>
      <c r="T77">
        <f t="shared" si="40"/>
        <v>3.7375308403418568E-104</v>
      </c>
      <c r="U77">
        <f t="shared" si="41"/>
        <v>1.5474062745742325E-134</v>
      </c>
      <c r="V77" s="3">
        <f t="shared" si="47"/>
        <v>4.1311134238793815E-77</v>
      </c>
      <c r="W77">
        <f t="shared" si="48"/>
        <v>6.9684912692382372E-134</v>
      </c>
      <c r="X77">
        <f t="shared" si="49"/>
        <v>2.9641732607249079E-8</v>
      </c>
      <c r="Y77" s="4">
        <f t="shared" si="50"/>
        <v>4.2741096497008062E-108</v>
      </c>
      <c r="Z77">
        <f t="shared" si="42"/>
        <v>4.1311134238793815E-77</v>
      </c>
      <c r="AA77">
        <f t="shared" si="43"/>
        <v>6.9684912692382381E-134</v>
      </c>
      <c r="AB77">
        <f t="shared" si="44"/>
        <v>2.9641732607249079E-8</v>
      </c>
      <c r="AC77" s="4">
        <f t="shared" si="45"/>
        <v>4.2741096497008062E-108</v>
      </c>
    </row>
    <row r="78" spans="1:29">
      <c r="A78">
        <f t="shared" si="46"/>
        <v>74</v>
      </c>
      <c r="B78" s="3">
        <f>+COUNTIF(desglose!F:F,'pruebas de bondad de ajuste'!$A78)</f>
        <v>0</v>
      </c>
      <c r="C78">
        <f>+COUNTIF(desglose!G:G,'pruebas de bondad de ajuste'!$A78)</f>
        <v>0</v>
      </c>
      <c r="D78">
        <f>+COUNTIF(desglose!Q:Q,'pruebas de bondad de ajuste'!$A78)/'estadísticos descriptivos'!D$2</f>
        <v>0</v>
      </c>
      <c r="E78" s="4">
        <f>+COUNTIF(desglose!R:R,'pruebas de bondad de ajuste'!$A78)/'estadísticos descriptivos'!E$2</f>
        <v>0</v>
      </c>
      <c r="F78" s="3">
        <f>+_xlfn.POISSON.DIST($A78,'estadísticos descriptivos'!B$6,0)*'estadísticos descriptivos'!B$2</f>
        <v>8.2034015050214616E-78</v>
      </c>
      <c r="G78">
        <f>+_xlfn.POISSON.DIST($A78,'estadísticos descriptivos'!C$6,0)*'estadísticos descriptivos'!C$2</f>
        <v>4.0561057128703194E-134</v>
      </c>
      <c r="H78">
        <f>+_xlfn.POISSON.DIST($A78,'estadísticos descriptivos'!D$6,0)*'estadísticos descriptivos'!D$2</f>
        <v>2.2628851193012416E-87</v>
      </c>
      <c r="I78">
        <f>+_xlfn.POISSON.DIST($A78,'estadísticos descriptivos'!E$6,0)*'estadísticos descriptivos'!E$2</f>
        <v>9.1983008853375404E-118</v>
      </c>
      <c r="J78">
        <f t="shared" si="34"/>
        <v>8.2034015050214616E-78</v>
      </c>
      <c r="K78">
        <f t="shared" si="35"/>
        <v>4.0561057128703194E-134</v>
      </c>
      <c r="L78">
        <f t="shared" si="36"/>
        <v>2.2628851193012416E-87</v>
      </c>
      <c r="M78" s="4">
        <f t="shared" si="37"/>
        <v>9.1983008853375404E-118</v>
      </c>
      <c r="N78">
        <f>BINOMDIST($A78,90,'estadísticos descriptivos'!B$6/90,0)*'estadísticos descriptivos'!B$2</f>
        <v>1.1390891210428863E-96</v>
      </c>
      <c r="O78">
        <f>BINOMDIST($A78,90,'estadísticos descriptivos'!C$6/90,0)*'estadísticos descriptivos'!C$2</f>
        <v>9.9640943593177942E-154</v>
      </c>
      <c r="P78">
        <f>BINOMDIST($A78,90,'estadísticos descriptivos'!D$6/90,0)*'estadísticos descriptivos'!D$2</f>
        <v>1.8406775720984217E-106</v>
      </c>
      <c r="Q78">
        <f>BINOMDIST($A78,90,'estadísticos descriptivos'!E$6/90,0)*'estadísticos descriptivos'!E$2</f>
        <v>2.8757361095958576E-137</v>
      </c>
      <c r="R78" s="3">
        <f t="shared" si="38"/>
        <v>1.1390891210428863E-96</v>
      </c>
      <c r="S78">
        <f t="shared" si="39"/>
        <v>9.9640943593177942E-154</v>
      </c>
      <c r="T78">
        <f t="shared" si="40"/>
        <v>1.8406775720984217E-106</v>
      </c>
      <c r="U78">
        <f t="shared" si="41"/>
        <v>2.8757361095958576E-137</v>
      </c>
      <c r="V78" s="3">
        <f t="shared" si="47"/>
        <v>1.5044270970668076E-78</v>
      </c>
      <c r="W78">
        <f t="shared" si="48"/>
        <v>3.9819950109931893E-136</v>
      </c>
      <c r="X78">
        <f t="shared" si="49"/>
        <v>-2.8756964772201209E-8</v>
      </c>
      <c r="Y78" s="4">
        <f t="shared" si="50"/>
        <v>-1.9861014218404117E-109</v>
      </c>
      <c r="Z78">
        <f t="shared" si="42"/>
        <v>1.5044270970668076E-78</v>
      </c>
      <c r="AA78">
        <f t="shared" si="43"/>
        <v>3.9819950109931893E-136</v>
      </c>
      <c r="AB78">
        <f t="shared" si="44"/>
        <v>-2.8756964772201209E-8</v>
      </c>
      <c r="AC78" s="4">
        <f t="shared" si="45"/>
        <v>-1.9861014218404117E-109</v>
      </c>
    </row>
    <row r="79" spans="1:29">
      <c r="A79">
        <f t="shared" si="46"/>
        <v>75</v>
      </c>
      <c r="B79" s="3">
        <f>+COUNTIF(desglose!F:F,'pruebas de bondad de ajuste'!$A79)</f>
        <v>0</v>
      </c>
      <c r="C79">
        <f>+COUNTIF(desglose!G:G,'pruebas de bondad de ajuste'!$A79)</f>
        <v>0</v>
      </c>
      <c r="D79">
        <f>+COUNTIF(desglose!Q:Q,'pruebas de bondad de ajuste'!$A79)/'estadísticos descriptivos'!D$2</f>
        <v>0</v>
      </c>
      <c r="E79" s="4">
        <f>+COUNTIF(desglose!R:R,'pruebas de bondad de ajuste'!$A79)/'estadísticos descriptivos'!E$2</f>
        <v>0</v>
      </c>
      <c r="F79" s="3">
        <f>+_xlfn.POISSON.DIST($A79,'estadísticos descriptivos'!B$6,0)*'estadísticos descriptivos'!B$2</f>
        <v>2.7813437483692038E-79</v>
      </c>
      <c r="G79">
        <f>+_xlfn.POISSON.DIST($A79,'estadísticos descriptivos'!C$6,0)*'estadísticos descriptivos'!C$2</f>
        <v>2.3177746930686872E-136</v>
      </c>
      <c r="H79">
        <f>+_xlfn.POISSON.DIST($A79,'estadísticos descriptivos'!D$6,0)*'estadísticos descriptivos'!D$2</f>
        <v>5.6991180782403505E-89</v>
      </c>
      <c r="I79">
        <f>+_xlfn.POISSON.DIST($A79,'estadísticos descriptivos'!E$6,0)*'estadísticos descriptivos'!E$2</f>
        <v>8.8576230747691899E-120</v>
      </c>
      <c r="J79">
        <f t="shared" si="34"/>
        <v>2.7813437483692038E-79</v>
      </c>
      <c r="K79">
        <f t="shared" si="35"/>
        <v>2.3177746930686872E-136</v>
      </c>
      <c r="L79">
        <f t="shared" si="36"/>
        <v>5.6991180782403505E-89</v>
      </c>
      <c r="M79" s="4">
        <f t="shared" si="37"/>
        <v>8.8576230747691899E-120</v>
      </c>
      <c r="N79">
        <f>BINOMDIST($A79,90,'estadísticos descriptivos'!B$6/90,0)*'estadísticos descriptivos'!B$2</f>
        <v>7.0655032488949139E-99</v>
      </c>
      <c r="O79">
        <f>BINOMDIST($A79,90,'estadísticos descriptivos'!C$6/90,0)*'estadísticos descriptivos'!C$2</f>
        <v>1.0170686427374308E-156</v>
      </c>
      <c r="P79">
        <f>BINOMDIST($A79,90,'estadísticos descriptivos'!D$6/90,0)*'estadísticos descriptivos'!D$2</f>
        <v>8.4180630451578713E-109</v>
      </c>
      <c r="Q79">
        <f>BINOMDIST($A79,90,'estadísticos descriptivos'!E$6/90,0)*'estadísticos descriptivos'!E$2</f>
        <v>4.962896584077493E-140</v>
      </c>
      <c r="R79" s="3">
        <f t="shared" si="38"/>
        <v>7.0655032488949139E-99</v>
      </c>
      <c r="S79">
        <f t="shared" si="39"/>
        <v>1.0170686427363222E-156</v>
      </c>
      <c r="T79">
        <f t="shared" si="40"/>
        <v>8.4180630451578713E-109</v>
      </c>
      <c r="U79">
        <f t="shared" si="41"/>
        <v>4.962896584077493E-140</v>
      </c>
      <c r="V79" s="3">
        <f t="shared" si="47"/>
        <v>5.4118021849843758E-80</v>
      </c>
      <c r="W79">
        <f t="shared" si="48"/>
        <v>2.2454859084547555E-138</v>
      </c>
      <c r="X79">
        <f t="shared" si="49"/>
        <v>2.7923223597683901E-8</v>
      </c>
      <c r="Y79" s="4">
        <f t="shared" si="50"/>
        <v>9.2576644732879859E-111</v>
      </c>
      <c r="Z79">
        <f t="shared" si="42"/>
        <v>5.4118021849843758E-80</v>
      </c>
      <c r="AA79">
        <f t="shared" si="43"/>
        <v>2.2454859084547558E-138</v>
      </c>
      <c r="AB79">
        <f t="shared" si="44"/>
        <v>2.7923223597683901E-8</v>
      </c>
      <c r="AC79" s="4">
        <f t="shared" si="45"/>
        <v>9.2576644732879859E-111</v>
      </c>
    </row>
    <row r="80" spans="1:29">
      <c r="A80">
        <f t="shared" si="46"/>
        <v>76</v>
      </c>
      <c r="B80" s="3">
        <f>+COUNTIF(desglose!F:F,'pruebas de bondad de ajuste'!$A80)</f>
        <v>0</v>
      </c>
      <c r="C80">
        <f>+COUNTIF(desglose!G:G,'pruebas de bondad de ajuste'!$A80)</f>
        <v>0</v>
      </c>
      <c r="D80">
        <f>+COUNTIF(desglose!Q:Q,'pruebas de bondad de ajuste'!$A80)/'estadísticos descriptivos'!D$2</f>
        <v>0</v>
      </c>
      <c r="E80" s="4">
        <f>+COUNTIF(desglose!R:R,'pruebas de bondad de ajuste'!$A80)/'estadísticos descriptivos'!E$2</f>
        <v>0</v>
      </c>
      <c r="F80" s="3">
        <f>+_xlfn.POISSON.DIST($A80,'estadísticos descriptivos'!B$6,0)*'estadísticos descriptivos'!B$2</f>
        <v>9.3059997595812013E-81</v>
      </c>
      <c r="G80">
        <f>+_xlfn.POISSON.DIST($A80,'estadísticos descriptivos'!C$6,0)*'estadísticos descriptivos'!C$2</f>
        <v>1.3070158043620291E-138</v>
      </c>
      <c r="H80">
        <f>+_xlfn.POISSON.DIST($A80,'estadísticos descriptivos'!D$6,0)*'estadísticos descriptivos'!D$2</f>
        <v>1.4164474755860514E-90</v>
      </c>
      <c r="I80">
        <f>+_xlfn.POISSON.DIST($A80,'estadísticos descriptivos'!E$6,0)*'estadísticos descriptivos'!E$2</f>
        <v>8.4173318692981231E-122</v>
      </c>
      <c r="J80">
        <f t="shared" si="34"/>
        <v>9.3059997595812013E-81</v>
      </c>
      <c r="K80">
        <f t="shared" si="35"/>
        <v>1.3070158043620291E-138</v>
      </c>
      <c r="L80">
        <f t="shared" si="36"/>
        <v>1.4164474755860512E-90</v>
      </c>
      <c r="M80" s="4">
        <f t="shared" si="37"/>
        <v>8.4173318692981231E-122</v>
      </c>
      <c r="N80">
        <f>BINOMDIST($A80,90,'estadísticos descriptivos'!B$6/90,0)*'estadísticos descriptivos'!B$2</f>
        <v>4.0545946617354842E-101</v>
      </c>
      <c r="O80">
        <f>BINOMDIST($A80,90,'estadísticos descriptivos'!C$6/90,0)*'estadísticos descriptivos'!C$2</f>
        <v>9.6046522545080681E-160</v>
      </c>
      <c r="P80">
        <f>BINOMDIST($A80,90,'estadísticos descriptivos'!D$6/90,0)*'estadísticos descriptivos'!D$2</f>
        <v>3.5617675657319219E-111</v>
      </c>
      <c r="Q80">
        <f>BINOMDIST($A80,90,'estadísticos descriptivos'!E$6/90,0)*'estadísticos descriptivos'!E$2</f>
        <v>7.9239252112064758E-143</v>
      </c>
      <c r="R80" s="3">
        <f t="shared" si="38"/>
        <v>4.0545946617354842E-101</v>
      </c>
      <c r="S80">
        <f t="shared" si="39"/>
        <v>9.6046649705563115E-160</v>
      </c>
      <c r="T80">
        <f t="shared" si="40"/>
        <v>3.5617675657319219E-111</v>
      </c>
      <c r="U80">
        <f t="shared" si="41"/>
        <v>7.9239252112064758E-143</v>
      </c>
      <c r="V80" s="3">
        <f t="shared" si="47"/>
        <v>1.9233317933468301E-81</v>
      </c>
      <c r="W80">
        <f t="shared" si="48"/>
        <v>1.2498066280823959E-140</v>
      </c>
      <c r="X80">
        <f t="shared" si="49"/>
        <v>-2.7136937674171307E-8</v>
      </c>
      <c r="Y80" s="4">
        <f t="shared" si="50"/>
        <v>-4.3281947969696657E-112</v>
      </c>
      <c r="Z80">
        <f t="shared" si="42"/>
        <v>1.9233317933468299E-81</v>
      </c>
      <c r="AA80">
        <f t="shared" si="43"/>
        <v>1.2498066280823959E-140</v>
      </c>
      <c r="AB80">
        <f t="shared" si="44"/>
        <v>-2.7136937674171304E-8</v>
      </c>
      <c r="AC80" s="4">
        <f t="shared" si="45"/>
        <v>-4.3281947969696657E-112</v>
      </c>
    </row>
    <row r="81" spans="1:29">
      <c r="A81">
        <f t="shared" si="46"/>
        <v>77</v>
      </c>
      <c r="B81" s="3">
        <f>+COUNTIF(desglose!F:F,'pruebas de bondad de ajuste'!$A81)</f>
        <v>0</v>
      </c>
      <c r="C81">
        <f>+COUNTIF(desglose!G:G,'pruebas de bondad de ajuste'!$A81)</f>
        <v>0</v>
      </c>
      <c r="D81">
        <f>+COUNTIF(desglose!Q:Q,'pruebas de bondad de ajuste'!$A81)/'estadísticos descriptivos'!D$2</f>
        <v>0</v>
      </c>
      <c r="E81" s="4">
        <f>+COUNTIF(desglose!R:R,'pruebas de bondad de ajuste'!$A81)/'estadísticos descriptivos'!E$2</f>
        <v>0</v>
      </c>
      <c r="F81" s="3">
        <f>+_xlfn.POISSON.DIST($A81,'estadísticos descriptivos'!B$6,0)*'estadísticos descriptivos'!B$2</f>
        <v>3.0732244103997811E-82</v>
      </c>
      <c r="G81">
        <f>+_xlfn.POISSON.DIST($A81,'estadísticos descriptivos'!C$6,0)*'estadísticos descriptivos'!C$2</f>
        <v>7.2746705252059886E-141</v>
      </c>
      <c r="H81">
        <f>+_xlfn.POISSON.DIST($A81,'estadísticos descriptivos'!D$6,0)*'estadísticos descriptivos'!D$2</f>
        <v>3.4746907770508677E-92</v>
      </c>
      <c r="I81">
        <f>+_xlfn.POISSON.DIST($A81,'estadísticos descriptivos'!E$6,0)*'estadísticos descriptivos'!E$2</f>
        <v>7.895044321852457E-124</v>
      </c>
      <c r="J81">
        <f t="shared" si="34"/>
        <v>3.0732244103997811E-82</v>
      </c>
      <c r="K81">
        <f t="shared" si="35"/>
        <v>7.2746705252059886E-141</v>
      </c>
      <c r="L81">
        <f t="shared" si="36"/>
        <v>3.4746907770508677E-92</v>
      </c>
      <c r="M81" s="4">
        <f t="shared" si="37"/>
        <v>7.895044321852457E-124</v>
      </c>
      <c r="N81">
        <f>BINOMDIST($A81,90,'estadísticos descriptivos'!B$6/90,0)*'estadísticos descriptivos'!B$2</f>
        <v>2.1434404971308149E-103</v>
      </c>
      <c r="O81">
        <f>BINOMDIST($A81,90,'estadísticos descriptivos'!C$6/90,0)*'estadísticos descriptivos'!C$2</f>
        <v>8.3555043536393032E-163</v>
      </c>
      <c r="P81">
        <f>BINOMDIST($A81,90,'estadísticos descriptivos'!D$6/90,0)*'estadísticos descriptivos'!D$2</f>
        <v>1.3882849619956666E-113</v>
      </c>
      <c r="Q81">
        <f>BINOMDIST($A81,90,'estadísticos descriptivos'!E$6/90,0)*'estadísticos descriptivos'!E$2</f>
        <v>1.1654808818882023E-145</v>
      </c>
      <c r="R81" s="3">
        <f t="shared" si="38"/>
        <v>2.1434404971308149E-103</v>
      </c>
      <c r="S81">
        <f t="shared" si="39"/>
        <v>0</v>
      </c>
      <c r="T81">
        <f t="shared" si="40"/>
        <v>1.3882849619956666E-113</v>
      </c>
      <c r="U81">
        <f t="shared" si="41"/>
        <v>1.1654808818882021E-145</v>
      </c>
      <c r="V81" s="3">
        <f t="shared" si="47"/>
        <v>6.7543084608619499E-83</v>
      </c>
      <c r="W81">
        <f t="shared" si="48"/>
        <v>6.8670693850679497E-143</v>
      </c>
      <c r="X81">
        <f t="shared" si="49"/>
        <v>2.6394839723649765E-8</v>
      </c>
      <c r="Y81" s="4">
        <f t="shared" si="50"/>
        <v>2.0294589692984356E-113</v>
      </c>
      <c r="Z81">
        <f t="shared" si="42"/>
        <v>6.7543084608619499E-83</v>
      </c>
      <c r="AA81">
        <f t="shared" si="43"/>
        <v>6.8670693850679497E-143</v>
      </c>
      <c r="AB81">
        <f t="shared" si="44"/>
        <v>2.6394839723649765E-8</v>
      </c>
      <c r="AC81" s="4">
        <f t="shared" si="45"/>
        <v>2.0294589692984356E-113</v>
      </c>
    </row>
    <row r="82" spans="1:29">
      <c r="A82">
        <f t="shared" si="46"/>
        <v>78</v>
      </c>
      <c r="B82" s="3">
        <f>+COUNTIF(desglose!F:F,'pruebas de bondad de ajuste'!$A82)</f>
        <v>0</v>
      </c>
      <c r="C82">
        <f>+COUNTIF(desglose!G:G,'pruebas de bondad de ajuste'!$A82)</f>
        <v>0</v>
      </c>
      <c r="D82">
        <f>+COUNTIF(desglose!Q:Q,'pruebas de bondad de ajuste'!$A82)/'estadísticos descriptivos'!D$2</f>
        <v>0</v>
      </c>
      <c r="E82" s="4">
        <f>+COUNTIF(desglose!R:R,'pruebas de bondad de ajuste'!$A82)/'estadísticos descriptivos'!E$2</f>
        <v>0</v>
      </c>
      <c r="F82" s="3">
        <f>+_xlfn.POISSON.DIST($A82,'estadísticos descriptivos'!B$6,0)*'estadísticos descriptivos'!B$2</f>
        <v>1.0018936722548726E-83</v>
      </c>
      <c r="G82">
        <f>+_xlfn.POISSON.DIST($A82,'estadísticos descriptivos'!C$6,0)*'estadísticos descriptivos'!C$2</f>
        <v>3.9970717171463042E-143</v>
      </c>
      <c r="H82">
        <f>+_xlfn.POISSON.DIST($A82,'estadísticos descriptivos'!D$6,0)*'estadísticos descriptivos'!D$2</f>
        <v>8.4144933347387686E-94</v>
      </c>
      <c r="I82">
        <f>+_xlfn.POISSON.DIST($A82,'estadísticos descriptivos'!E$6,0)*'estadísticos descriptivos'!E$2</f>
        <v>7.3102262239377185E-126</v>
      </c>
      <c r="J82">
        <f t="shared" si="34"/>
        <v>1.0018936722548726E-83</v>
      </c>
      <c r="K82">
        <f t="shared" si="35"/>
        <v>3.9970717171463042E-143</v>
      </c>
      <c r="L82">
        <f t="shared" si="36"/>
        <v>8.4144933347387686E-94</v>
      </c>
      <c r="M82" s="4">
        <f t="shared" si="37"/>
        <v>7.3102262239377185E-126</v>
      </c>
      <c r="N82">
        <f>BINOMDIST($A82,90,'estadísticos descriptivos'!B$6/90,0)*'estadísticos descriptivos'!B$2</f>
        <v>1.0386921716467446E-105</v>
      </c>
      <c r="O82">
        <f>BINOMDIST($A82,90,'estadísticos descriptivos'!C$6/90,0)*'estadísticos descriptivos'!C$2</f>
        <v>6.6630816217222834E-166</v>
      </c>
      <c r="P82">
        <f>BINOMDIST($A82,90,'estadísticos descriptivos'!D$6/90,0)*'estadísticos descriptivos'!D$2</f>
        <v>4.9602447149907853E-116</v>
      </c>
      <c r="Q82">
        <f>BINOMDIST($A82,90,'estadísticos descriptivos'!E$6/90,0)*'estadísticos descriptivos'!E$2</f>
        <v>1.5713805708925416E-148</v>
      </c>
      <c r="R82" s="3">
        <f t="shared" si="38"/>
        <v>1.0386921716467446E-105</v>
      </c>
      <c r="S82">
        <f t="shared" si="39"/>
        <v>0</v>
      </c>
      <c r="T82">
        <f t="shared" si="40"/>
        <v>4.9602447149907853E-116</v>
      </c>
      <c r="U82">
        <f t="shared" si="41"/>
        <v>1.5713805708925416E-148</v>
      </c>
      <c r="V82" s="3">
        <f t="shared" si="47"/>
        <v>2.3441907038062893E-84</v>
      </c>
      <c r="W82">
        <f t="shared" si="48"/>
        <v>3.7253540967818017E-145</v>
      </c>
      <c r="X82">
        <f t="shared" si="49"/>
        <v>-2.5693936757196015E-8</v>
      </c>
      <c r="Y82" s="4">
        <f t="shared" si="50"/>
        <v>-9.5430282491623813E-115</v>
      </c>
      <c r="Z82">
        <f t="shared" si="42"/>
        <v>2.3441907038062893E-84</v>
      </c>
      <c r="AA82">
        <f t="shared" si="43"/>
        <v>3.7253540967818017E-145</v>
      </c>
      <c r="AB82">
        <f t="shared" si="44"/>
        <v>-2.5693936757196015E-8</v>
      </c>
      <c r="AC82" s="4">
        <f t="shared" si="45"/>
        <v>-9.5430282491623813E-115</v>
      </c>
    </row>
    <row r="83" spans="1:29">
      <c r="A83">
        <f t="shared" si="46"/>
        <v>79</v>
      </c>
      <c r="B83" s="3">
        <f>+COUNTIF(desglose!F:F,'pruebas de bondad de ajuste'!$A83)</f>
        <v>0</v>
      </c>
      <c r="C83">
        <f>+COUNTIF(desglose!G:G,'pruebas de bondad de ajuste'!$A83)</f>
        <v>0</v>
      </c>
      <c r="D83">
        <f>+COUNTIF(desglose!Q:Q,'pruebas de bondad de ajuste'!$A83)/'estadísticos descriptivos'!D$2</f>
        <v>0</v>
      </c>
      <c r="E83" s="4">
        <f>+COUNTIF(desglose!R:R,'pruebas de bondad de ajuste'!$A83)/'estadísticos descriptivos'!E$2</f>
        <v>0</v>
      </c>
      <c r="F83" s="3">
        <f>+_xlfn.POISSON.DIST($A83,'estadísticos descriptivos'!B$6,0)*'estadísticos descriptivos'!B$2</f>
        <v>3.2249018745273305E-85</v>
      </c>
      <c r="G83">
        <f>+_xlfn.POISSON.DIST($A83,'estadísticos descriptivos'!C$6,0)*'estadísticos descriptivos'!C$2</f>
        <v>2.1683933366075029E-145</v>
      </c>
      <c r="H83">
        <f>+_xlfn.POISSON.DIST($A83,'estadísticos descriptivos'!D$6,0)*'estadísticos descriptivos'!D$2</f>
        <v>2.01190417286298E-95</v>
      </c>
      <c r="I83">
        <f>+_xlfn.POISSON.DIST($A83,'estadísticos descriptivos'!E$6,0)*'estadísticos descriptivos'!E$2</f>
        <v>6.6830478840502715E-128</v>
      </c>
      <c r="J83">
        <f t="shared" si="34"/>
        <v>3.2249018745273305E-85</v>
      </c>
      <c r="K83">
        <f t="shared" si="35"/>
        <v>2.1683933366075029E-145</v>
      </c>
      <c r="L83">
        <f t="shared" si="36"/>
        <v>2.01190417286298E-95</v>
      </c>
      <c r="M83" s="4">
        <f t="shared" si="37"/>
        <v>6.6830478840502715E-128</v>
      </c>
      <c r="N83">
        <f>BINOMDIST($A83,90,'estadísticos descriptivos'!B$6/90,0)*'estadísticos descriptivos'!B$2</f>
        <v>4.5874114081966741E-108</v>
      </c>
      <c r="O83">
        <f>BINOMDIST($A83,90,'estadísticos descriptivos'!C$6/90,0)*'estadísticos descriptivos'!C$2</f>
        <v>4.8426491103303588E-169</v>
      </c>
      <c r="P83">
        <f>BINOMDIST($A83,90,'estadísticos descriptivos'!D$6/90,0)*'estadísticos descriptivos'!D$2</f>
        <v>1.6152248660880741E-118</v>
      </c>
      <c r="Q83">
        <f>BINOMDIST($A83,90,'estadísticos descriptivos'!E$6/90,0)*'estadísticos descriptivos'!E$2</f>
        <v>1.9309143467206816E-151</v>
      </c>
      <c r="R83" s="3">
        <f t="shared" si="38"/>
        <v>4.5874114081966741E-108</v>
      </c>
      <c r="S83">
        <f t="shared" si="39"/>
        <v>0</v>
      </c>
      <c r="T83">
        <f t="shared" si="40"/>
        <v>1.6152248660880741E-118</v>
      </c>
      <c r="U83">
        <f t="shared" si="41"/>
        <v>1.9309143467206816E-151</v>
      </c>
      <c r="V83" s="3">
        <f t="shared" si="47"/>
        <v>8.0419163006530964E-86</v>
      </c>
      <c r="W83">
        <f t="shared" si="48"/>
        <v>1.9957254089902035E-147</v>
      </c>
      <c r="X83">
        <f t="shared" si="49"/>
        <v>2.5031483536421683E-8</v>
      </c>
      <c r="Y83" s="4">
        <f t="shared" si="50"/>
        <v>4.4997711949715317E-116</v>
      </c>
      <c r="Z83">
        <f t="shared" si="42"/>
        <v>8.0419163006530964E-86</v>
      </c>
      <c r="AA83">
        <f t="shared" si="43"/>
        <v>1.9957254089902032E-147</v>
      </c>
      <c r="AB83">
        <f t="shared" si="44"/>
        <v>2.5031483536421683E-8</v>
      </c>
      <c r="AC83" s="4">
        <f t="shared" si="45"/>
        <v>4.4997711949715311E-116</v>
      </c>
    </row>
    <row r="84" spans="1:29">
      <c r="A84">
        <f t="shared" si="46"/>
        <v>80</v>
      </c>
      <c r="B84" s="3">
        <f>+COUNTIF(desglose!F:F,'pruebas de bondad de ajuste'!$A84)</f>
        <v>0</v>
      </c>
      <c r="C84">
        <f>+COUNTIF(desglose!G:G,'pruebas de bondad de ajuste'!$A84)</f>
        <v>0</v>
      </c>
      <c r="D84">
        <f>+COUNTIF(desglose!Q:Q,'pruebas de bondad de ajuste'!$A84)/'estadísticos descriptivos'!D$2</f>
        <v>0</v>
      </c>
      <c r="E84" s="4">
        <f>+COUNTIF(desglose!R:R,'pruebas de bondad de ajuste'!$A84)/'estadísticos descriptivos'!E$2</f>
        <v>0</v>
      </c>
      <c r="F84" s="3">
        <f>+_xlfn.POISSON.DIST($A84,'estadísticos descriptivos'!B$6,0)*'estadísticos descriptivos'!B$2</f>
        <v>1.0250580958319088E-86</v>
      </c>
      <c r="G84">
        <f>+_xlfn.POISSON.DIST($A84,'estadísticos descriptivos'!C$6,0)*'estadísticos descriptivos'!C$2</f>
        <v>1.1616392874681808E-147</v>
      </c>
      <c r="H84">
        <f>+_xlfn.POISSON.DIST($A84,'estadísticos descriptivos'!D$6,0)*'estadísticos descriptivos'!D$2</f>
        <v>4.7503292970374725E-97</v>
      </c>
      <c r="I84">
        <f>+_xlfn.POISSON.DIST($A84,'estadísticos descriptivos'!E$6,0)*'estadísticos descriptivos'!E$2</f>
        <v>6.033307117544716E-130</v>
      </c>
      <c r="J84">
        <f t="shared" si="34"/>
        <v>1.0250580958319088E-86</v>
      </c>
      <c r="K84">
        <f t="shared" si="35"/>
        <v>1.1616392874681808E-147</v>
      </c>
      <c r="L84">
        <f t="shared" si="36"/>
        <v>4.7503292970374725E-97</v>
      </c>
      <c r="M84" s="4">
        <f t="shared" si="37"/>
        <v>6.033307117544716E-130</v>
      </c>
      <c r="N84">
        <f>BINOMDIST($A84,90,'estadísticos descriptivos'!B$6/90,0)*'estadísticos descriptivos'!B$2</f>
        <v>1.8339904314866581E-110</v>
      </c>
      <c r="O84">
        <f>BINOMDIST($A84,90,'estadísticos descriptivos'!C$6/90,0)*'estadísticos descriptivos'!C$2</f>
        <v>3.1859533620592649E-172</v>
      </c>
      <c r="P84">
        <f>BINOMDIST($A84,90,'estadísticos descriptivos'!D$6/90,0)*'estadísticos descriptivos'!D$2</f>
        <v>4.7611451758898437E-121</v>
      </c>
      <c r="Q84">
        <f>BINOMDIST($A84,90,'estadísticos descriptivos'!E$6/90,0)*'estadísticos descriptivos'!E$2</f>
        <v>2.1477967608981084E-154</v>
      </c>
      <c r="R84" s="3">
        <f t="shared" si="38"/>
        <v>1.8339904314866581E-110</v>
      </c>
      <c r="S84">
        <f t="shared" si="39"/>
        <v>0</v>
      </c>
      <c r="T84">
        <f t="shared" si="40"/>
        <v>4.7611451758898437E-121</v>
      </c>
      <c r="U84">
        <f t="shared" si="41"/>
        <v>2.1477967608981084E-154</v>
      </c>
      <c r="V84" s="3">
        <f t="shared" si="47"/>
        <v>2.7273958880235829E-87</v>
      </c>
      <c r="W84">
        <f t="shared" si="48"/>
        <v>1.0559393698360611E-149</v>
      </c>
      <c r="X84">
        <f t="shared" si="49"/>
        <v>-2.4404958933522988E-8</v>
      </c>
      <c r="Y84" s="4">
        <f t="shared" si="50"/>
        <v>-2.1274539943277742E-117</v>
      </c>
      <c r="Z84">
        <f t="shared" si="42"/>
        <v>2.7273958880235829E-87</v>
      </c>
      <c r="AA84">
        <f t="shared" si="43"/>
        <v>1.0559393698360611E-149</v>
      </c>
      <c r="AB84">
        <f t="shared" si="44"/>
        <v>-2.4404958933522988E-8</v>
      </c>
      <c r="AC84" s="4">
        <f t="shared" si="45"/>
        <v>-2.1274539943277742E-117</v>
      </c>
    </row>
    <row r="85" spans="1:29">
      <c r="A85">
        <f t="shared" si="46"/>
        <v>81</v>
      </c>
      <c r="B85" s="3">
        <f>+COUNTIF(desglose!F:F,'pruebas de bondad de ajuste'!$A85)</f>
        <v>0</v>
      </c>
      <c r="C85">
        <f>+COUNTIF(desglose!G:G,'pruebas de bondad de ajuste'!$A85)</f>
        <v>0</v>
      </c>
      <c r="D85">
        <f>+COUNTIF(desglose!Q:Q,'pruebas de bondad de ajuste'!$A85)/'estadísticos descriptivos'!D$2</f>
        <v>0</v>
      </c>
      <c r="E85" s="4">
        <f>+COUNTIF(desglose!R:R,'pruebas de bondad de ajuste'!$A85)/'estadísticos descriptivos'!E$2</f>
        <v>0</v>
      </c>
      <c r="F85" s="3">
        <f>+_xlfn.POISSON.DIST($A85,'estadísticos descriptivos'!B$6,0)*'estadísticos descriptivos'!B$2</f>
        <v>3.2179954331230664E-88</v>
      </c>
      <c r="G85">
        <f>+_xlfn.POISSON.DIST($A85,'estadísticos descriptivos'!C$6,0)*'estadísticos descriptivos'!C$2</f>
        <v>6.1462396162338358E-150</v>
      </c>
      <c r="H85">
        <f>+_xlfn.POISSON.DIST($A85,'estadísticos descriptivos'!D$6,0)*'estadísticos descriptivos'!D$2</f>
        <v>1.1077585466342687E-98</v>
      </c>
      <c r="I85">
        <f>+_xlfn.POISSON.DIST($A85,'estadísticos descriptivos'!E$6,0)*'estadísticos descriptivos'!E$2</f>
        <v>5.3794919429411495E-132</v>
      </c>
      <c r="J85">
        <f t="shared" si="34"/>
        <v>3.2179954331230664E-88</v>
      </c>
      <c r="K85">
        <f t="shared" si="35"/>
        <v>6.1462396162338358E-150</v>
      </c>
      <c r="L85">
        <f t="shared" si="36"/>
        <v>1.1077585466342687E-98</v>
      </c>
      <c r="M85" s="4">
        <f t="shared" si="37"/>
        <v>5.3794919429411495E-132</v>
      </c>
      <c r="N85">
        <f>BINOMDIST($A85,90,'estadísticos descriptivos'!B$6/90,0)*'estadísticos descriptivos'!B$2</f>
        <v>6.5832253803248083E-113</v>
      </c>
      <c r="O85">
        <f>BINOMDIST($A85,90,'estadísticos descriptivos'!C$6/90,0)*'estadísticos descriptivos'!C$2</f>
        <v>1.8819501223105455E-175</v>
      </c>
      <c r="P85">
        <f>BINOMDIST($A85,90,'estadísticos descriptivos'!D$6/90,0)*'estadísticos descriptivos'!D$2</f>
        <v>1.2600916661237841E-123</v>
      </c>
      <c r="Q85">
        <f>BINOMDIST($A85,90,'estadísticos descriptivos'!E$6/90,0)*'estadísticos descriptivos'!E$2</f>
        <v>2.1450412079619262E-157</v>
      </c>
      <c r="R85" s="3">
        <f t="shared" si="38"/>
        <v>6.5832253803248083E-113</v>
      </c>
      <c r="S85">
        <f t="shared" si="39"/>
        <v>0</v>
      </c>
      <c r="T85">
        <f t="shared" si="40"/>
        <v>1.2600916661237841E-123</v>
      </c>
      <c r="U85">
        <f t="shared" si="41"/>
        <v>2.1450412080222251E-157</v>
      </c>
      <c r="V85" s="3">
        <f t="shared" si="47"/>
        <v>9.145861823004301E-89</v>
      </c>
      <c r="W85">
        <f t="shared" si="48"/>
        <v>5.5188468806761425E-152</v>
      </c>
      <c r="X85">
        <f t="shared" si="49"/>
        <v>2.381204483904659E-8</v>
      </c>
      <c r="Y85" s="4">
        <f t="shared" si="50"/>
        <v>1.0084723927028636E-118</v>
      </c>
      <c r="Z85">
        <f t="shared" si="42"/>
        <v>9.145861823004301E-89</v>
      </c>
      <c r="AA85">
        <f t="shared" si="43"/>
        <v>5.5188468806761425E-152</v>
      </c>
      <c r="AB85">
        <f t="shared" si="44"/>
        <v>2.381204483904659E-8</v>
      </c>
      <c r="AC85" s="4">
        <f t="shared" si="45"/>
        <v>1.0084723927028636E-118</v>
      </c>
    </row>
    <row r="86" spans="1:29">
      <c r="A86">
        <f t="shared" si="46"/>
        <v>82</v>
      </c>
      <c r="B86" s="3">
        <f>+COUNTIF(desglose!F:F,'pruebas de bondad de ajuste'!$A86)</f>
        <v>0</v>
      </c>
      <c r="C86">
        <f>+COUNTIF(desglose!G:G,'pruebas de bondad de ajuste'!$A86)</f>
        <v>0</v>
      </c>
      <c r="D86">
        <f>+COUNTIF(desglose!Q:Q,'pruebas de bondad de ajuste'!$A86)/'estadísticos descriptivos'!D$2</f>
        <v>0</v>
      </c>
      <c r="E86" s="4">
        <f>+COUNTIF(desglose!R:R,'pruebas de bondad de ajuste'!$A86)/'estadísticos descriptivos'!E$2</f>
        <v>0</v>
      </c>
      <c r="F86" s="3">
        <f>+_xlfn.POISSON.DIST($A86,'estadísticos descriptivos'!B$6,0)*'estadísticos descriptivos'!B$2</f>
        <v>9.9791496009740072E-90</v>
      </c>
      <c r="G86">
        <f>+_xlfn.POISSON.DIST($A86,'estadísticos descriptivos'!C$6,0)*'estadísticos descriptivos'!C$2</f>
        <v>3.212320356916525E-152</v>
      </c>
      <c r="H86">
        <f>+_xlfn.POISSON.DIST($A86,'estadísticos descriptivos'!D$6,0)*'estadísticos descriptivos'!D$2</f>
        <v>2.551747329645262E-100</v>
      </c>
      <c r="I86">
        <f>+_xlfn.POISSON.DIST($A86,'estadísticos descriptivos'!E$6,0)*'estadísticos descriptivos'!E$2</f>
        <v>4.7380349090944044E-134</v>
      </c>
      <c r="J86">
        <f t="shared" si="34"/>
        <v>9.9791496009740072E-90</v>
      </c>
      <c r="K86">
        <f t="shared" si="35"/>
        <v>3.212320356916525E-152</v>
      </c>
      <c r="L86">
        <f t="shared" si="36"/>
        <v>2.551747329645262E-100</v>
      </c>
      <c r="M86" s="4">
        <f t="shared" si="37"/>
        <v>4.7380349090944044E-134</v>
      </c>
      <c r="N86">
        <f>BINOMDIST($A86,90,'estadísticos descriptivos'!B$6/90,0)*'estadísticos descriptivos'!B$2</f>
        <v>2.1008452241974569E-115</v>
      </c>
      <c r="O86">
        <f>BINOMDIST($A86,90,'estadísticos descriptivos'!C$6/90,0)*'estadísticos descriptivos'!C$2</f>
        <v>9.8830383363258349E-179</v>
      </c>
      <c r="P86">
        <f>BINOMDIST($A86,90,'estadísticos descriptivos'!D$6/90,0)*'estadísticos descriptivos'!D$2</f>
        <v>2.9648759714103732E-126</v>
      </c>
      <c r="Q86">
        <f>BINOMDIST($A86,90,'estadísticos descriptivos'!E$6/90,0)*'estadísticos descriptivos'!E$2</f>
        <v>1.9045473411411868E-160</v>
      </c>
      <c r="R86" s="3">
        <f t="shared" si="38"/>
        <v>2.1008452241974569E-115</v>
      </c>
      <c r="S86">
        <f t="shared" si="39"/>
        <v>0</v>
      </c>
      <c r="T86">
        <f t="shared" si="40"/>
        <v>2.9648759714103732E-126</v>
      </c>
      <c r="U86">
        <f t="shared" si="41"/>
        <v>1.9046152822816736E-160</v>
      </c>
      <c r="V86" s="3">
        <f t="shared" si="47"/>
        <v>3.0328651853369877E-90</v>
      </c>
      <c r="W86">
        <f t="shared" si="48"/>
        <v>2.8496627611063717E-154</v>
      </c>
      <c r="X86">
        <f t="shared" si="49"/>
        <v>-2.3250607312956745E-8</v>
      </c>
      <c r="Y86" s="4">
        <f t="shared" si="50"/>
        <v>-4.7926064177980761E-120</v>
      </c>
      <c r="Z86">
        <f t="shared" si="42"/>
        <v>3.0328651853369877E-90</v>
      </c>
      <c r="AA86">
        <f t="shared" si="43"/>
        <v>2.8496627611063717E-154</v>
      </c>
      <c r="AB86">
        <f t="shared" si="44"/>
        <v>-2.3250607312956742E-8</v>
      </c>
      <c r="AC86" s="4">
        <f t="shared" si="45"/>
        <v>-4.7926064177980754E-120</v>
      </c>
    </row>
    <row r="87" spans="1:29">
      <c r="A87">
        <f t="shared" si="46"/>
        <v>83</v>
      </c>
      <c r="B87" s="3">
        <f>+COUNTIF(desglose!F:F,'pruebas de bondad de ajuste'!$A87)</f>
        <v>0</v>
      </c>
      <c r="C87">
        <f>+COUNTIF(desglose!G:G,'pruebas de bondad de ajuste'!$A87)</f>
        <v>0</v>
      </c>
      <c r="D87">
        <f>+COUNTIF(desglose!Q:Q,'pruebas de bondad de ajuste'!$A87)/'estadísticos descriptivos'!D$2</f>
        <v>0</v>
      </c>
      <c r="E87" s="4">
        <f>+COUNTIF(desglose!R:R,'pruebas de bondad de ajuste'!$A87)/'estadísticos descriptivos'!E$2</f>
        <v>0</v>
      </c>
      <c r="F87" s="3">
        <f>+_xlfn.POISSON.DIST($A87,'estadísticos descriptivos'!B$6,0)*'estadísticos descriptivos'!B$2</f>
        <v>3.0572954027080414E-91</v>
      </c>
      <c r="G87">
        <f>+_xlfn.POISSON.DIST($A87,'estadísticos descriptivos'!C$6,0)*'estadísticos descriptivos'!C$2</f>
        <v>1.6586852101119043E-154</v>
      </c>
      <c r="H87">
        <f>+_xlfn.POISSON.DIST($A87,'estadísticos descriptivos'!D$6,0)*'estadísticos descriptivos'!D$2</f>
        <v>5.8071893713481278E-102</v>
      </c>
      <c r="I87">
        <f>+_xlfn.POISSON.DIST($A87,'estadísticos descriptivos'!E$6,0)*'estadísticos descriptivos'!E$2</f>
        <v>4.1227880735094226E-136</v>
      </c>
      <c r="J87">
        <f t="shared" si="34"/>
        <v>3.0572954027080414E-91</v>
      </c>
      <c r="K87">
        <f t="shared" si="35"/>
        <v>1.6586852101119043E-154</v>
      </c>
      <c r="L87">
        <f t="shared" si="36"/>
        <v>5.8071893713481286E-102</v>
      </c>
      <c r="M87" s="4">
        <f t="shared" si="37"/>
        <v>4.1227880735094226E-136</v>
      </c>
      <c r="N87">
        <f>BINOMDIST($A87,90,'estadísticos descriptivos'!B$6/90,0)*'estadísticos descriptivos'!B$2</f>
        <v>5.8875231719244316E-118</v>
      </c>
      <c r="O87">
        <f>BINOMDIST($A87,90,'estadísticos descriptivos'!C$6/90,0)*'estadísticos descriptivos'!C$2</f>
        <v>4.5578086522512654E-182</v>
      </c>
      <c r="P87">
        <f>BINOMDIST($A87,90,'estadísticos descriptivos'!D$6/90,0)*'estadísticos descriptivos'!D$2</f>
        <v>6.1262421506226922E-129</v>
      </c>
      <c r="Q87">
        <f>BINOMDIST($A87,90,'estadísticos descriptivos'!E$6/90,0)*'estadísticos descriptivos'!E$2</f>
        <v>1.4850160328583218E-163</v>
      </c>
      <c r="R87" s="3">
        <f t="shared" si="38"/>
        <v>5.8875231719244316E-118</v>
      </c>
      <c r="S87">
        <f t="shared" si="39"/>
        <v>0</v>
      </c>
      <c r="T87">
        <f t="shared" si="40"/>
        <v>6.1262421506226922E-129</v>
      </c>
      <c r="U87">
        <f t="shared" si="41"/>
        <v>0</v>
      </c>
      <c r="V87" s="3">
        <f t="shared" si="47"/>
        <v>9.9470943976326887E-92</v>
      </c>
      <c r="W87">
        <f t="shared" si="48"/>
        <v>1.4539095719930102E-156</v>
      </c>
      <c r="X87">
        <f t="shared" si="49"/>
        <v>2.2718679714396677E-8</v>
      </c>
      <c r="Y87" s="4">
        <f t="shared" si="50"/>
        <v>2.2832551587285759E-121</v>
      </c>
      <c r="Z87">
        <f t="shared" si="42"/>
        <v>9.9470943976326887E-92</v>
      </c>
      <c r="AA87">
        <f t="shared" si="43"/>
        <v>1.4539095719944539E-156</v>
      </c>
      <c r="AB87">
        <f t="shared" si="44"/>
        <v>2.2718679714396674E-8</v>
      </c>
      <c r="AC87" s="4">
        <f t="shared" si="45"/>
        <v>2.2832551587285759E-121</v>
      </c>
    </row>
    <row r="88" spans="1:29">
      <c r="A88">
        <f t="shared" si="46"/>
        <v>84</v>
      </c>
      <c r="B88" s="3">
        <f>+COUNTIF(desglose!F:F,'pruebas de bondad de ajuste'!$A88)</f>
        <v>0</v>
      </c>
      <c r="C88">
        <f>+COUNTIF(desglose!G:G,'pruebas de bondad de ajuste'!$A88)</f>
        <v>0</v>
      </c>
      <c r="D88">
        <f>+COUNTIF(desglose!Q:Q,'pruebas de bondad de ajuste'!$A88)/'estadísticos descriptivos'!D$2</f>
        <v>0</v>
      </c>
      <c r="E88" s="4">
        <f>+COUNTIF(desglose!R:R,'pruebas de bondad de ajuste'!$A88)/'estadísticos descriptivos'!E$2</f>
        <v>0</v>
      </c>
      <c r="F88" s="3">
        <f>+_xlfn.POISSON.DIST($A88,'estadísticos descriptivos'!B$6,0)*'estadísticos descriptivos'!B$2</f>
        <v>9.2550779197626305E-93</v>
      </c>
      <c r="G88">
        <f>+_xlfn.POISSON.DIST($A88,'estadísticos descriptivos'!C$6,0)*'estadísticos descriptivos'!C$2</f>
        <v>8.4626796434282592E-157</v>
      </c>
      <c r="H88">
        <f>+_xlfn.POISSON.DIST($A88,'estadísticos descriptivos'!D$6,0)*'estadísticos descriptivos'!D$2</f>
        <v>1.3058494618111465E-103</v>
      </c>
      <c r="I88">
        <f>+_xlfn.POISSON.DIST($A88,'estadísticos descriptivos'!E$6,0)*'estadísticos descriptivos'!E$2</f>
        <v>3.5447251954777384E-138</v>
      </c>
      <c r="J88">
        <f t="shared" si="34"/>
        <v>9.2550779197626305E-93</v>
      </c>
      <c r="K88">
        <f t="shared" si="35"/>
        <v>8.4626796434036289E-157</v>
      </c>
      <c r="L88">
        <f t="shared" si="36"/>
        <v>1.3058494618111465E-103</v>
      </c>
      <c r="M88" s="4">
        <f t="shared" si="37"/>
        <v>3.5447251954777384E-138</v>
      </c>
      <c r="N88">
        <f>BINOMDIST($A88,90,'estadísticos descriptivos'!B$6/90,0)*'estadísticos descriptivos'!B$2</f>
        <v>1.4265206422227779E-120</v>
      </c>
      <c r="O88">
        <f>BINOMDIST($A88,90,'estadísticos descriptivos'!C$6/90,0)*'estadísticos descriptivos'!C$2</f>
        <v>1.8173080750603588E-185</v>
      </c>
      <c r="P88">
        <f>BINOMDIST($A88,90,'estadísticos descriptivos'!D$6/90,0)*'estadísticos descriptivos'!D$2</f>
        <v>1.0944316578456076E-131</v>
      </c>
      <c r="Q88">
        <f>BINOMDIST($A88,90,'estadísticos descriptivos'!E$6/90,0)*'estadísticos descriptivos'!E$2</f>
        <v>1.0010997939824621E-166</v>
      </c>
      <c r="R88" s="3">
        <f t="shared" si="38"/>
        <v>1.4265206422227781E-120</v>
      </c>
      <c r="S88">
        <f t="shared" si="39"/>
        <v>0</v>
      </c>
      <c r="T88">
        <f t="shared" si="40"/>
        <v>1.0944316578456076E-131</v>
      </c>
      <c r="U88">
        <f t="shared" si="41"/>
        <v>0</v>
      </c>
      <c r="V88" s="3">
        <f t="shared" si="47"/>
        <v>3.2271205783599536E-93</v>
      </c>
      <c r="W88">
        <f t="shared" si="48"/>
        <v>7.3306364974435629E-159</v>
      </c>
      <c r="X88">
        <f t="shared" si="49"/>
        <v>-2.2214447579706358E-8</v>
      </c>
      <c r="Y88" s="4">
        <f t="shared" si="50"/>
        <v>-1.0903958948289099E-122</v>
      </c>
      <c r="Z88">
        <f t="shared" si="42"/>
        <v>3.2271205783599536E-93</v>
      </c>
      <c r="AA88">
        <f t="shared" si="43"/>
        <v>7.3306364059324249E-159</v>
      </c>
      <c r="AB88">
        <f t="shared" si="44"/>
        <v>-2.2214447579706358E-8</v>
      </c>
      <c r="AC88" s="4">
        <f t="shared" si="45"/>
        <v>-1.0903958948289099E-122</v>
      </c>
    </row>
    <row r="89" spans="1:29">
      <c r="A89">
        <f t="shared" si="46"/>
        <v>85</v>
      </c>
      <c r="B89" s="3">
        <f>+COUNTIF(desglose!F:F,'pruebas de bondad de ajuste'!$A89)</f>
        <v>0</v>
      </c>
      <c r="C89">
        <f>+COUNTIF(desglose!G:G,'pruebas de bondad de ajuste'!$A89)</f>
        <v>0</v>
      </c>
      <c r="D89">
        <f>+COUNTIF(desglose!Q:Q,'pruebas de bondad de ajuste'!$A89)/'estadísticos descriptivos'!D$2</f>
        <v>0</v>
      </c>
      <c r="E89" s="4">
        <f>+COUNTIF(desglose!R:R,'pruebas de bondad de ajuste'!$A89)/'estadísticos descriptivos'!E$2</f>
        <v>0</v>
      </c>
      <c r="F89" s="3">
        <f>+_xlfn.POISSON.DIST($A89,'estadísticos descriptivos'!B$6,0)*'estadísticos descriptivos'!B$2</f>
        <v>2.7687459995256166E-94</v>
      </c>
      <c r="G89">
        <f>+_xlfn.POISSON.DIST($A89,'estadísticos descriptivos'!C$6,0)*'estadísticos descriptivos'!C$2</f>
        <v>4.2668972992075746E-159</v>
      </c>
      <c r="H89">
        <f>+_xlfn.POISSON.DIST($A89,'estadísticos descriptivos'!D$6,0)*'estadísticos descriptivos'!D$2</f>
        <v>2.9018876929135543E-105</v>
      </c>
      <c r="I89">
        <f>+_xlfn.POISSON.DIST($A89,'estadísticos descriptivos'!E$6,0)*'estadísticos descriptivos'!E$2</f>
        <v>3.0118580092294845E-140</v>
      </c>
      <c r="J89">
        <f t="shared" si="34"/>
        <v>2.7687459995256166E-94</v>
      </c>
      <c r="K89">
        <f t="shared" si="35"/>
        <v>4.2668973835165526E-159</v>
      </c>
      <c r="L89">
        <f t="shared" si="36"/>
        <v>2.9018876929135539E-105</v>
      </c>
      <c r="M89" s="4">
        <f t="shared" si="37"/>
        <v>3.0118580092294845E-140</v>
      </c>
      <c r="N89">
        <f>BINOMDIST($A89,90,'estadísticos descriptivos'!B$6/90,0)*'estadísticos descriptivos'!B$2</f>
        <v>2.9277707129426576E-123</v>
      </c>
      <c r="O89">
        <f>BINOMDIST($A89,90,'estadísticos descriptivos'!C$6/90,0)*'estadísticos descriptivos'!C$2</f>
        <v>6.1378263159930055E-189</v>
      </c>
      <c r="P89">
        <f>BINOMDIST($A89,90,'estadísticos descriptivos'!D$6/90,0)*'estadísticos descriptivos'!D$2</f>
        <v>1.6561387003967911E-134</v>
      </c>
      <c r="Q89">
        <f>BINOMDIST($A89,90,'estadísticos descriptivos'!E$6/90,0)*'estadísticos descriptivos'!E$2</f>
        <v>5.7165916710448941E-170</v>
      </c>
      <c r="R89" s="3">
        <f t="shared" si="38"/>
        <v>2.9277707129426576E-123</v>
      </c>
      <c r="S89">
        <f t="shared" si="39"/>
        <v>0</v>
      </c>
      <c r="T89">
        <f t="shared" si="40"/>
        <v>1.6561387003967911E-134</v>
      </c>
      <c r="U89">
        <f t="shared" si="41"/>
        <v>0</v>
      </c>
      <c r="V89" s="3">
        <f t="shared" si="47"/>
        <v>1.0357851560557306E-94</v>
      </c>
      <c r="W89">
        <f t="shared" si="48"/>
        <v>3.6531411116827456E-161</v>
      </c>
      <c r="X89">
        <f t="shared" si="49"/>
        <v>2.1736235047646966E-8</v>
      </c>
      <c r="Y89" s="4">
        <f t="shared" si="50"/>
        <v>5.2195644397510336E-124</v>
      </c>
      <c r="Z89">
        <f t="shared" si="42"/>
        <v>1.0357851560557306E-94</v>
      </c>
      <c r="AA89">
        <f t="shared" si="43"/>
        <v>3.6515896949759385E-161</v>
      </c>
      <c r="AB89">
        <f t="shared" si="44"/>
        <v>2.1736235047646966E-8</v>
      </c>
      <c r="AC89" s="4">
        <f t="shared" si="45"/>
        <v>5.2195644397510336E-124</v>
      </c>
    </row>
    <row r="90" spans="1:29">
      <c r="A90">
        <f t="shared" si="46"/>
        <v>86</v>
      </c>
      <c r="B90" s="3">
        <f>+COUNTIF(desglose!F:F,'pruebas de bondad de ajuste'!$A90)</f>
        <v>0</v>
      </c>
      <c r="C90">
        <f>+COUNTIF(desglose!G:G,'pruebas de bondad de ajuste'!$A90)</f>
        <v>0</v>
      </c>
      <c r="D90">
        <f>+COUNTIF(desglose!Q:Q,'pruebas de bondad de ajuste'!$A90)/'estadísticos descriptivos'!D$2</f>
        <v>0</v>
      </c>
      <c r="E90" s="4">
        <f>+COUNTIF(desglose!R:R,'pruebas de bondad de ajuste'!$A90)/'estadísticos descriptivos'!E$2</f>
        <v>0</v>
      </c>
      <c r="F90" s="3">
        <f>+_xlfn.POISSON.DIST($A90,'estadísticos descriptivos'!B$6,0)*'estadísticos descriptivos'!B$2</f>
        <v>8.1866576065704447E-96</v>
      </c>
      <c r="G90">
        <f>+_xlfn.POISSON.DIST($A90,'estadísticos descriptivos'!C$6,0)*'estadísticos descriptivos'!C$2</f>
        <v>2.1263607803360189E-161</v>
      </c>
      <c r="H90">
        <f>+_xlfn.POISSON.DIST($A90,'estadísticos descriptivos'!D$6,0)*'estadísticos descriptivos'!D$2</f>
        <v>6.3736551394741269E-107</v>
      </c>
      <c r="I90">
        <f>+_xlfn.POISSON.DIST($A90,'estadísticos descriptivos'!E$6,0)*'estadísticos descriptivos'!E$2</f>
        <v>2.529338121445961E-142</v>
      </c>
      <c r="J90">
        <f t="shared" si="34"/>
        <v>8.1866576065704447E-96</v>
      </c>
      <c r="K90">
        <f t="shared" si="35"/>
        <v>2.1376447420278225E-161</v>
      </c>
      <c r="L90">
        <f t="shared" si="36"/>
        <v>6.3736551394741269E-107</v>
      </c>
      <c r="M90" s="4">
        <f t="shared" si="37"/>
        <v>2.5293381214459606E-142</v>
      </c>
      <c r="N90">
        <f>BINOMDIST($A90,90,'estadísticos descriptivos'!B$6/90,0)*'estadísticos descriptivos'!B$2</f>
        <v>4.949203282326956E-126</v>
      </c>
      <c r="O90">
        <f>BINOMDIST($A90,90,'estadísticos descriptivos'!C$6/90,0)*'estadísticos descriptivos'!C$2</f>
        <v>1.7074180249228488E-192</v>
      </c>
      <c r="P90">
        <f>BINOMDIST($A90,90,'estadísticos descriptivos'!D$6/90,0)*'estadísticos descriptivos'!D$2</f>
        <v>2.0641630184716096E-137</v>
      </c>
      <c r="Q90">
        <f>BINOMDIST($A90,90,'estadísticos descriptivos'!E$6/90,0)*'estadísticos descriptivos'!E$2</f>
        <v>2.6886619485817973E-173</v>
      </c>
      <c r="R90" s="3">
        <f t="shared" si="38"/>
        <v>4.949203282326956E-126</v>
      </c>
      <c r="S90">
        <f t="shared" si="39"/>
        <v>0</v>
      </c>
      <c r="T90">
        <f t="shared" si="40"/>
        <v>2.0641630184716096E-137</v>
      </c>
      <c r="U90">
        <f t="shared" si="41"/>
        <v>0</v>
      </c>
      <c r="V90" s="3">
        <f t="shared" si="47"/>
        <v>3.2894102208448193E-96</v>
      </c>
      <c r="W90">
        <f t="shared" si="48"/>
        <v>1.7995769023067247E-163</v>
      </c>
      <c r="X90">
        <f t="shared" si="49"/>
        <v>-2.1282492656108574E-8</v>
      </c>
      <c r="Y90" s="4">
        <f t="shared" si="50"/>
        <v>-2.5042567354552912E-125</v>
      </c>
      <c r="Z90">
        <f t="shared" si="42"/>
        <v>3.2894102208448193E-96</v>
      </c>
      <c r="AA90">
        <f t="shared" si="43"/>
        <v>0</v>
      </c>
      <c r="AB90">
        <f t="shared" si="44"/>
        <v>-2.1282492656108574E-8</v>
      </c>
      <c r="AC90" s="4">
        <f t="shared" si="45"/>
        <v>-2.5042567354552912E-125</v>
      </c>
    </row>
    <row r="91" spans="1:29">
      <c r="A91">
        <f t="shared" si="46"/>
        <v>87</v>
      </c>
      <c r="B91" s="3">
        <f>+COUNTIF(desglose!F:F,'pruebas de bondad de ajuste'!$A91)</f>
        <v>0</v>
      </c>
      <c r="C91">
        <f>+COUNTIF(desglose!G:G,'pruebas de bondad de ajuste'!$A91)</f>
        <v>0</v>
      </c>
      <c r="D91">
        <f>+COUNTIF(desglose!Q:Q,'pruebas de bondad de ajuste'!$A91)/'estadísticos descriptivos'!D$2</f>
        <v>0</v>
      </c>
      <c r="E91" s="4">
        <f>+COUNTIF(desglose!R:R,'pruebas de bondad de ajuste'!$A91)/'estadísticos descriptivos'!E$2</f>
        <v>0</v>
      </c>
      <c r="F91" s="3">
        <f>+_xlfn.POISSON.DIST($A91,'estadísticos descriptivos'!B$6,0)*'estadísticos descriptivos'!B$2</f>
        <v>2.392816180574009E-97</v>
      </c>
      <c r="G91">
        <f>+_xlfn.POISSON.DIST($A91,'estadísticos descriptivos'!C$6,0)*'estadísticos descriptivos'!C$2</f>
        <v>1.0474683646974915E-163</v>
      </c>
      <c r="H91">
        <f>+_xlfn.POISSON.DIST($A91,'estadísticos descriptivos'!D$6,0)*'estadísticos descriptivos'!D$2</f>
        <v>1.3838076292600139E-108</v>
      </c>
      <c r="I91">
        <f>+_xlfn.POISSON.DIST($A91,'estadísticos descriptivos'!E$6,0)*'estadísticos descriptivos'!E$2</f>
        <v>2.0997059756574784E-144</v>
      </c>
      <c r="J91">
        <f t="shared" si="34"/>
        <v>2.392816180574009E-97</v>
      </c>
      <c r="K91">
        <f t="shared" si="35"/>
        <v>0</v>
      </c>
      <c r="L91">
        <f t="shared" si="36"/>
        <v>1.3838076292600139E-108</v>
      </c>
      <c r="M91" s="4">
        <f t="shared" si="37"/>
        <v>2.0997059756574784E-144</v>
      </c>
      <c r="N91">
        <f>BINOMDIST($A91,90,'estadísticos descriptivos'!B$6/90,0)*'estadísticos descriptivos'!B$2</f>
        <v>6.6161098600803004E-129</v>
      </c>
      <c r="O91">
        <f>BINOMDIST($A91,90,'estadísticos descriptivos'!C$6/90,0)*'estadísticos descriptivos'!C$2</f>
        <v>3.7560755099226856E-196</v>
      </c>
      <c r="P91">
        <f>BINOMDIST($A91,90,'estadísticos descriptivos'!D$6/90,0)*'estadísticos descriptivos'!D$2</f>
        <v>2.0345129836656099E-140</v>
      </c>
      <c r="Q91">
        <f>BINOMDIST($A91,90,'estadísticos descriptivos'!E$6/90,0)*'estadísticos descriptivos'!E$2</f>
        <v>1.0000101661999748E-176</v>
      </c>
      <c r="R91" s="3">
        <f t="shared" si="38"/>
        <v>6.6161098600803004E-129</v>
      </c>
      <c r="S91">
        <f t="shared" si="39"/>
        <v>0</v>
      </c>
      <c r="T91">
        <f t="shared" si="40"/>
        <v>2.0345129836656099E-140</v>
      </c>
      <c r="U91">
        <f t="shared" si="41"/>
        <v>0</v>
      </c>
      <c r="V91" s="3">
        <f t="shared" si="47"/>
        <v>1.0337540955709547E-97</v>
      </c>
      <c r="W91">
        <f t="shared" si="48"/>
        <v>8.7641732255195337E-166</v>
      </c>
      <c r="X91">
        <f t="shared" si="49"/>
        <v>2.0851786356445554E-8</v>
      </c>
      <c r="Y91" s="4">
        <f t="shared" si="50"/>
        <v>1.2041848802532728E-126</v>
      </c>
      <c r="Z91">
        <f t="shared" si="42"/>
        <v>1.0337540955709547E-97</v>
      </c>
      <c r="AA91">
        <f t="shared" si="43"/>
        <v>0</v>
      </c>
      <c r="AB91">
        <f t="shared" si="44"/>
        <v>2.0851786356445554E-8</v>
      </c>
      <c r="AC91" s="4">
        <f t="shared" si="45"/>
        <v>1.2041848802532728E-126</v>
      </c>
    </row>
    <row r="92" spans="1:29">
      <c r="A92">
        <f t="shared" si="46"/>
        <v>88</v>
      </c>
      <c r="B92" s="3">
        <f>+COUNTIF(desglose!F:F,'pruebas de bondad de ajuste'!$A92)</f>
        <v>0</v>
      </c>
      <c r="C92">
        <f>+COUNTIF(desglose!G:G,'pruebas de bondad de ajuste'!$A92)</f>
        <v>0</v>
      </c>
      <c r="D92">
        <f>+COUNTIF(desglose!Q:Q,'pruebas de bondad de ajuste'!$A92)/'estadísticos descriptivos'!D$2</f>
        <v>0</v>
      </c>
      <c r="E92" s="4">
        <f>+COUNTIF(desglose!R:R,'pruebas de bondad de ajuste'!$A92)/'estadísticos descriptivos'!E$2</f>
        <v>0</v>
      </c>
      <c r="F92" s="3">
        <f>+_xlfn.POISSON.DIST($A92,'estadísticos descriptivos'!B$6,0)*'estadísticos descriptivos'!B$2</f>
        <v>6.9143064958147333E-99</v>
      </c>
      <c r="G92">
        <f>+_xlfn.POISSON.DIST($A92,'estadísticos descriptivos'!C$6,0)*'estadísticos descriptivos'!C$2</f>
        <v>5.101306970929499E-166</v>
      </c>
      <c r="H92">
        <f>+_xlfn.POISSON.DIST($A92,'estadísticos descriptivos'!D$6,0)*'estadísticos descriptivos'!D$2</f>
        <v>2.9702941537146791E-110</v>
      </c>
      <c r="I92">
        <f>+_xlfn.POISSON.DIST($A92,'estadísticos descriptivos'!E$6,0)*'estadísticos descriptivos'!E$2</f>
        <v>1.7232435406280333E-146</v>
      </c>
      <c r="J92">
        <f t="shared" si="34"/>
        <v>6.9143064958147333E-99</v>
      </c>
      <c r="K92">
        <f t="shared" si="35"/>
        <v>0</v>
      </c>
      <c r="L92">
        <f t="shared" si="36"/>
        <v>2.9702941537146791E-110</v>
      </c>
      <c r="M92" s="4">
        <f t="shared" si="37"/>
        <v>1.7232435406280333E-146</v>
      </c>
      <c r="N92">
        <f>BINOMDIST($A92,90,'estadísticos descriptivos'!B$6/90,0)*'estadísticos descriptivos'!B$2</f>
        <v>6.55794798432448E-132</v>
      </c>
      <c r="O92">
        <f>BINOMDIST($A92,90,'estadísticos descriptivos'!C$6/90,0)*'estadísticos descriptivos'!C$2</f>
        <v>6.126699940065041E-200</v>
      </c>
      <c r="P92">
        <f>BINOMDIST($A92,90,'estadísticos descriptivos'!D$6/90,0)*'estadísticos descriptivos'!D$2</f>
        <v>1.4868761057970559E-143</v>
      </c>
      <c r="Q92">
        <f>BINOMDIST($A92,90,'estadísticos descriptivos'!E$6/90,0)*'estadísticos descriptivos'!E$2</f>
        <v>2.7578489337698847E-180</v>
      </c>
      <c r="R92" s="3">
        <f t="shared" si="38"/>
        <v>6.55794798432448E-132</v>
      </c>
      <c r="S92">
        <f t="shared" si="39"/>
        <v>0</v>
      </c>
      <c r="T92">
        <f t="shared" si="40"/>
        <v>1.4868761057970559E-143</v>
      </c>
      <c r="U92">
        <f t="shared" si="41"/>
        <v>0</v>
      </c>
      <c r="V92" s="3">
        <f t="shared" si="47"/>
        <v>3.2153110272922322E-99</v>
      </c>
      <c r="W92">
        <f t="shared" si="48"/>
        <v>4.2203081342789572E-168</v>
      </c>
      <c r="X92">
        <f t="shared" si="49"/>
        <v>-2.0442787610500967E-8</v>
      </c>
      <c r="Y92" s="4">
        <f t="shared" si="50"/>
        <v>-5.803010304967636E-128</v>
      </c>
      <c r="Z92">
        <f t="shared" si="42"/>
        <v>3.2153110272922322E-99</v>
      </c>
      <c r="AA92">
        <f t="shared" si="43"/>
        <v>0</v>
      </c>
      <c r="AB92">
        <f t="shared" si="44"/>
        <v>-2.0442787610500967E-8</v>
      </c>
      <c r="AC92" s="4">
        <f t="shared" si="45"/>
        <v>-5.803010304967636E-128</v>
      </c>
    </row>
    <row r="93" spans="1:29">
      <c r="A93">
        <f t="shared" si="46"/>
        <v>89</v>
      </c>
      <c r="B93" s="3">
        <f>+COUNTIF(desglose!F:F,'pruebas de bondad de ajuste'!$A93)</f>
        <v>0</v>
      </c>
      <c r="C93">
        <f>+COUNTIF(desglose!G:G,'pruebas de bondad de ajuste'!$A93)</f>
        <v>0</v>
      </c>
      <c r="D93">
        <f>+COUNTIF(desglose!Q:Q,'pruebas de bondad de ajuste'!$A93)/'estadísticos descriptivos'!D$2</f>
        <v>0</v>
      </c>
      <c r="E93" s="4">
        <f>+COUNTIF(desglose!R:R,'pruebas de bondad de ajuste'!$A93)/'estadísticos descriptivos'!E$2</f>
        <v>0</v>
      </c>
      <c r="F93" s="3">
        <f>+_xlfn.POISSON.DIST($A93,'estadísticos descriptivos'!B$6,0)*'estadísticos descriptivos'!B$2</f>
        <v>1.9755161416613371E-100</v>
      </c>
      <c r="G93">
        <f>+_xlfn.POISSON.DIST($A93,'estadísticos descriptivos'!C$6,0)*'estadísticos descriptivos'!C$2</f>
        <v>2.4564881079918589E-168</v>
      </c>
      <c r="H93">
        <f>+_xlfn.POISSON.DIST($A93,'estadísticos descriptivos'!D$6,0)*'estadísticos descriptivos'!D$2</f>
        <v>6.3039950827903131E-112</v>
      </c>
      <c r="I93">
        <f>+_xlfn.POISSON.DIST($A93,'estadísticos descriptivos'!E$6,0)*'estadísticos descriptivos'!E$2</f>
        <v>1.3983873925196932E-148</v>
      </c>
      <c r="J93">
        <f t="shared" si="34"/>
        <v>1.9755161416613371E-100</v>
      </c>
      <c r="K93">
        <f t="shared" si="35"/>
        <v>0</v>
      </c>
      <c r="L93">
        <f t="shared" si="36"/>
        <v>6.3039950827903131E-112</v>
      </c>
      <c r="M93" s="4">
        <f t="shared" si="37"/>
        <v>1.3983873925196932E-148</v>
      </c>
      <c r="N93">
        <f>BINOMDIST($A93,90,'estadísticos descriptivos'!B$6/90,0)*'estadísticos descriptivos'!B$2</f>
        <v>4.2848402380426795E-135</v>
      </c>
      <c r="O93">
        <f>BINOMDIST($A93,90,'estadísticos descriptivos'!C$6/90,0)*'estadísticos descriptivos'!C$2</f>
        <v>6.5874952315087759E-204</v>
      </c>
      <c r="P93">
        <f>BINOMDIST($A93,90,'estadísticos descriptivos'!D$6/90,0)*'estadísticos descriptivos'!D$2</f>
        <v>7.1629266754187598E-147</v>
      </c>
      <c r="Q93">
        <f>BINOMDIST($A93,90,'estadísticos descriptivos'!E$6/90,0)*'estadísticos descriptivos'!E$2</f>
        <v>5.0134644272606666E-184</v>
      </c>
      <c r="R93" s="3">
        <f t="shared" si="38"/>
        <v>4.2848402380426789E-135</v>
      </c>
      <c r="S93">
        <f t="shared" si="39"/>
        <v>0</v>
      </c>
      <c r="T93">
        <f t="shared" si="40"/>
        <v>7.1629266754187598E-147</v>
      </c>
      <c r="U93">
        <f t="shared" si="41"/>
        <v>0</v>
      </c>
      <c r="V93" s="3">
        <f t="shared" si="47"/>
        <v>9.89896333411079E-101</v>
      </c>
      <c r="W93">
        <f t="shared" si="48"/>
        <v>2.0096705401327832E-170</v>
      </c>
      <c r="X93">
        <f t="shared" si="49"/>
        <v>2.0054264451775928E-8</v>
      </c>
      <c r="Y93" s="4">
        <f t="shared" si="50"/>
        <v>2.8024402355876227E-129</v>
      </c>
      <c r="Z93">
        <f t="shared" si="42"/>
        <v>9.89896333411079E-101</v>
      </c>
      <c r="AA93">
        <f t="shared" si="43"/>
        <v>0</v>
      </c>
      <c r="AB93">
        <f t="shared" si="44"/>
        <v>2.0054264451775928E-8</v>
      </c>
      <c r="AC93" s="4">
        <f t="shared" si="45"/>
        <v>2.8024402355876227E-129</v>
      </c>
    </row>
    <row r="94" spans="1:29" ht="15" customHeight="1" thickBot="1">
      <c r="A94">
        <f t="shared" si="46"/>
        <v>90</v>
      </c>
      <c r="B94" s="3">
        <f>+COUNTIF(desglose!F:F,'pruebas de bondad de ajuste'!$A94)</f>
        <v>0</v>
      </c>
      <c r="C94">
        <f>+COUNTIF(desglose!G:G,'pruebas de bondad de ajuste'!$A94)</f>
        <v>0</v>
      </c>
      <c r="D94" s="6">
        <f>+COUNTIF(desglose!Q:Q,'pruebas de bondad de ajuste'!$A94)/'estadísticos descriptivos'!D$2</f>
        <v>0</v>
      </c>
      <c r="E94" s="7">
        <f>+COUNTIF(desglose!R:R,'pruebas de bondad de ajuste'!$A94)/'estadísticos descriptivos'!E$2</f>
        <v>0</v>
      </c>
      <c r="F94" s="3">
        <f>+_xlfn.POISSON.DIST($A94,'estadísticos descriptivos'!B$6,0)*'estadísticos descriptivos'!B$2</f>
        <v>5.581617035170045E-102</v>
      </c>
      <c r="G94">
        <f>+_xlfn.POISSON.DIST($A94,'estadísticos descriptivos'!C$6,0)*'estadísticos descriptivos'!C$2</f>
        <v>1.1697562419008386E-170</v>
      </c>
      <c r="H94">
        <f>+_xlfn.POISSON.DIST($A94,'estadísticos descriptivos'!D$6,0)*'estadísticos descriptivos'!D$2</f>
        <v>1.3230606963881038E-113</v>
      </c>
      <c r="I94">
        <f>+_xlfn.POISSON.DIST($A94,'estadísticos descriptivos'!E$6,0)*'estadísticos descriptivos'!E$2</f>
        <v>1.1221627223922974E-150</v>
      </c>
      <c r="J94">
        <f t="shared" si="34"/>
        <v>5.5816170351700458E-102</v>
      </c>
      <c r="K94">
        <f t="shared" si="35"/>
        <v>0</v>
      </c>
      <c r="L94">
        <f t="shared" si="36"/>
        <v>1.3230606963881038E-113</v>
      </c>
      <c r="M94" s="4">
        <f t="shared" si="37"/>
        <v>1.1221627223922974E-150</v>
      </c>
      <c r="N94">
        <f>BINOMDIST($A94,90,'estadísticos descriptivos'!B$6/90,0)*'estadísticos descriptivos'!B$2</f>
        <v>1.3842636073389005E-138</v>
      </c>
      <c r="O94">
        <f>BINOMDIST($A94,90,'estadísticos descriptivos'!C$6/90,0)*'estadísticos descriptivos'!C$2</f>
        <v>3.5021239933595308E-208</v>
      </c>
      <c r="P94">
        <f>BINOMDIST($A94,90,'estadísticos descriptivos'!D$6/90,0)*'estadísticos descriptivos'!D$2</f>
        <v>1.7061756127520522E-150</v>
      </c>
      <c r="Q94">
        <f>BINOMDIST($A94,90,'estadísticos descriptivos'!E$6/90,0)*'estadísticos descriptivos'!E$2</f>
        <v>4.5063290848644422E-188</v>
      </c>
      <c r="R94" s="5">
        <f t="shared" si="38"/>
        <v>1.3842636073389005E-138</v>
      </c>
      <c r="S94" s="6">
        <f t="shared" si="39"/>
        <v>0</v>
      </c>
      <c r="T94" s="6">
        <f t="shared" si="40"/>
        <v>1.7061756127520522E-150</v>
      </c>
      <c r="U94" s="6">
        <f t="shared" si="41"/>
        <v>0</v>
      </c>
      <c r="V94" s="3">
        <f t="shared" si="47"/>
        <v>3.0169676035618351E-102</v>
      </c>
      <c r="W94">
        <f t="shared" si="48"/>
        <v>9.4646964213472308E-173</v>
      </c>
      <c r="X94">
        <f t="shared" si="49"/>
        <v>-1.9685073406433352E-8</v>
      </c>
      <c r="Y94" s="4">
        <f t="shared" si="50"/>
        <v>-1.3561884718492065E-130</v>
      </c>
      <c r="Z94" s="6">
        <f t="shared" si="42"/>
        <v>3.0169676035618351E-102</v>
      </c>
      <c r="AA94" s="6">
        <f t="shared" si="43"/>
        <v>0</v>
      </c>
      <c r="AB94" s="6">
        <f t="shared" si="44"/>
        <v>-1.9685073406433352E-8</v>
      </c>
      <c r="AC94" s="7">
        <f t="shared" si="45"/>
        <v>-1.3561884718492065E-130</v>
      </c>
    </row>
  </sheetData>
  <mergeCells count="21">
    <mergeCell ref="Z1:AC1"/>
    <mergeCell ref="B2:C2"/>
    <mergeCell ref="F1:I1"/>
    <mergeCell ref="D2:E2"/>
    <mergeCell ref="R1:U1"/>
    <mergeCell ref="N2:O2"/>
    <mergeCell ref="P2:Q2"/>
    <mergeCell ref="J1:M1"/>
    <mergeCell ref="F2:G2"/>
    <mergeCell ref="H2:I2"/>
    <mergeCell ref="T2:U2"/>
    <mergeCell ref="Z2:AA2"/>
    <mergeCell ref="AB2:AC2"/>
    <mergeCell ref="V1:Y1"/>
    <mergeCell ref="B1:E1"/>
    <mergeCell ref="J2:K2"/>
    <mergeCell ref="N1:Q1"/>
    <mergeCell ref="R2:S2"/>
    <mergeCell ref="L2:M2"/>
    <mergeCell ref="V2:W2"/>
    <mergeCell ref="X2:Y2"/>
  </mergeCells>
  <conditionalFormatting sqref="J3:M3">
    <cfRule type="cellIs" dxfId="5" priority="5" operator="equal">
      <formula>"no rechazar"</formula>
    </cfRule>
    <cfRule type="cellIs" dxfId="4" priority="6" operator="equal">
      <formula>"rechazar"</formula>
    </cfRule>
  </conditionalFormatting>
  <conditionalFormatting sqref="R3:U3">
    <cfRule type="cellIs" dxfId="3" priority="11" operator="equal">
      <formula>"no rechazar"</formula>
    </cfRule>
    <cfRule type="cellIs" dxfId="2" priority="12" operator="equal">
      <formula>"rechazar"</formula>
    </cfRule>
  </conditionalFormatting>
  <conditionalFormatting sqref="Z3:AC3">
    <cfRule type="cellIs" dxfId="1" priority="1" operator="equal">
      <formula>"no rechazar"</formula>
    </cfRule>
    <cfRule type="cellIs" dxfId="0" priority="2" operator="equal">
      <formula>"rechazar"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3"/>
  <sheetViews>
    <sheetView topLeftCell="A115" workbookViewId="0">
      <selection sqref="A1:S124"/>
    </sheetView>
  </sheetViews>
  <sheetFormatPr baseColWidth="10" defaultRowHeight="14.25"/>
  <cols>
    <col min="2" max="2" width="12" bestFit="1" customWidth="1"/>
  </cols>
  <sheetData>
    <row r="1" spans="1:19">
      <c r="B1" t="s">
        <v>56</v>
      </c>
      <c r="C1" t="s">
        <v>57</v>
      </c>
      <c r="D1" t="s">
        <v>58</v>
      </c>
      <c r="E1" t="s">
        <v>59</v>
      </c>
      <c r="O1" t="s">
        <v>93</v>
      </c>
      <c r="P1" t="s">
        <v>94</v>
      </c>
      <c r="Q1" t="s">
        <v>95</v>
      </c>
      <c r="R1" t="s">
        <v>96</v>
      </c>
      <c r="S1" t="s">
        <v>74</v>
      </c>
    </row>
    <row r="2" spans="1:19">
      <c r="A2" t="s">
        <v>84</v>
      </c>
      <c r="B2">
        <f>+IF('estadísticos descriptivos'!B6&lt;'estadísticos descriptivos'!B7,1,0)</f>
        <v>1</v>
      </c>
      <c r="C2">
        <f>+IF('estadísticos descriptivos'!C6&lt;'estadísticos descriptivos'!C7,1,0)</f>
        <v>0</v>
      </c>
      <c r="D2">
        <f>+IF('estadísticos descriptivos'!D6&lt;'estadísticos descriptivos'!D7,1,0)</f>
        <v>0</v>
      </c>
      <c r="E2">
        <f>+IF('estadísticos descriptivos'!E6&lt;'estadísticos descriptivos'!E7,1,0)</f>
        <v>0</v>
      </c>
      <c r="H2" t="s">
        <v>74</v>
      </c>
      <c r="I2" t="s">
        <v>93</v>
      </c>
      <c r="J2" t="s">
        <v>94</v>
      </c>
      <c r="K2" t="s">
        <v>95</v>
      </c>
      <c r="L2" t="s">
        <v>96</v>
      </c>
      <c r="N2" t="s">
        <v>74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85</v>
      </c>
      <c r="B3">
        <f>1-B2</f>
        <v>0</v>
      </c>
      <c r="C3">
        <f>1-C2</f>
        <v>1</v>
      </c>
      <c r="D3">
        <f>1-D2</f>
        <v>1</v>
      </c>
      <c r="E3">
        <f>1-E2</f>
        <v>1</v>
      </c>
      <c r="H3">
        <v>0</v>
      </c>
      <c r="I3">
        <f>+IF(B$8="binomial",_xlfn.BINOM.DIST($H3,B$9,B$10,0),IF(B$8="Binomial negativa",(B$10/(1+B$10))^B$9,_xlfn.POISSON.DIST($H3,B$9,0)))</f>
        <v>7.8641388817160998E-2</v>
      </c>
      <c r="J3">
        <f>+IF(C$8="binomial",_xlfn.BINOM.DIST($H3,C$9,C$10,0),IF(C$8="Binomial negativa",(C$10/(1+C$10))^C$9,_xlfn.POISSON.DIST($H3,C$9,0)))</f>
        <v>0.65143905753105558</v>
      </c>
      <c r="K3">
        <f>+IF(D$8="binomial",_xlfn.BINOM.DIST($H3,D$9,D$10,0),IF(D$8="Binomial negativa",(D$10/(1+D$10))^D$9,_xlfn.POISSON.DIST($H3,D$9,0)))</f>
        <v>0.1482296760598589</v>
      </c>
      <c r="L3">
        <f>+IF(E$8="binomial",_xlfn.BINOM.DIST($H3,E$9,E$10,0),IF(E$8="Binomial negativa",(E$10/(1+E$10))^E$9,_xlfn.POISSON.DIST($H3,E$9,0)))</f>
        <v>0.48567178524771237</v>
      </c>
      <c r="N3">
        <v>0</v>
      </c>
      <c r="O3">
        <f>+I3</f>
        <v>7.8641388817160998E-2</v>
      </c>
      <c r="P3">
        <f>+J3</f>
        <v>0.65143905753105558</v>
      </c>
      <c r="Q3">
        <f>+K3</f>
        <v>0.1482296760598589</v>
      </c>
      <c r="R3">
        <f>+L3</f>
        <v>0.48567178524771237</v>
      </c>
      <c r="S3">
        <f>1+S2</f>
        <v>1</v>
      </c>
    </row>
    <row r="4" spans="1:19">
      <c r="A4" t="s">
        <v>66</v>
      </c>
      <c r="B4" s="13">
        <f>+'estadísticos descriptivos'!B8</f>
        <v>2.6437541308658202E-3</v>
      </c>
      <c r="C4" s="13">
        <f>+'estadísticos descriptivos'!C8</f>
        <v>1.2952601953960163E-16</v>
      </c>
      <c r="D4" s="13">
        <f>+'estadísticos descriptivos'!D8</f>
        <v>1.0352112676056344</v>
      </c>
      <c r="E4" s="13">
        <f>+'estadísticos descriptivos'!E8</f>
        <v>5.7416267942583692E-2</v>
      </c>
      <c r="H4">
        <f>1+H3</f>
        <v>1</v>
      </c>
      <c r="I4">
        <f t="shared" ref="I4:L19" si="0">+IF(B$8="binomial",_xlfn.BINOM.DIST($H4,B$9,B$10,0),IF(B$8="Binomial negativa",((1+(B$9-1)/$H4)/(1+B$10))*I3,_xlfn.POISSON.DIST($H4,B$9,0)))</f>
        <v>0.19997381727792368</v>
      </c>
      <c r="J4">
        <f t="shared" si="0"/>
        <v>0.27918816751330949</v>
      </c>
      <c r="K4">
        <f t="shared" si="0"/>
        <v>0.28599168268800013</v>
      </c>
      <c r="L4">
        <f t="shared" si="0"/>
        <v>0.35076295601223667</v>
      </c>
      <c r="N4">
        <f>1+N3</f>
        <v>1</v>
      </c>
      <c r="O4">
        <f t="shared" ref="O4:R19" si="1">+O3+I4</f>
        <v>0.27861520609508467</v>
      </c>
      <c r="P4">
        <f t="shared" si="1"/>
        <v>0.93062722504436501</v>
      </c>
      <c r="Q4">
        <f t="shared" si="1"/>
        <v>0.43422135874785905</v>
      </c>
      <c r="R4">
        <f t="shared" si="1"/>
        <v>0.8364347412599491</v>
      </c>
      <c r="S4">
        <f t="shared" ref="S4:S67" si="2">1+S3</f>
        <v>2</v>
      </c>
    </row>
    <row r="5" spans="1:19">
      <c r="A5" t="s">
        <v>86</v>
      </c>
      <c r="B5">
        <f>+IF(AND(B4&lt;=10%,'pruebas de bondad de ajuste'!J3="no rechazar"),1,0)</f>
        <v>1</v>
      </c>
      <c r="C5">
        <f>+IF(AND(C4&lt;=10%,'pruebas de bondad de ajuste'!K3="no rechazar"),1,0)</f>
        <v>1</v>
      </c>
      <c r="D5">
        <f>+IF(AND(D4&lt;=10%,'pruebas de bondad de ajuste'!L3="no rechazar"),1,0)</f>
        <v>0</v>
      </c>
      <c r="E5">
        <f>+IF(AND(E4&lt;=10%,'pruebas de bondad de ajuste'!M3="no rechazar"),1,0)</f>
        <v>1</v>
      </c>
      <c r="F5" t="s">
        <v>86</v>
      </c>
      <c r="H5">
        <f>1+H4</f>
        <v>2</v>
      </c>
      <c r="I5">
        <f t="shared" si="0"/>
        <v>0.25425242482478871</v>
      </c>
      <c r="J5">
        <f t="shared" si="0"/>
        <v>5.9826035895709173E-2</v>
      </c>
      <c r="K5">
        <f t="shared" si="0"/>
        <v>0.27282813108886778</v>
      </c>
      <c r="L5">
        <f t="shared" si="0"/>
        <v>0.12666440078219654</v>
      </c>
      <c r="N5">
        <f t="shared" ref="N5:N68" si="3">1+N4</f>
        <v>2</v>
      </c>
      <c r="O5">
        <f t="shared" si="1"/>
        <v>0.53286763091987344</v>
      </c>
      <c r="P5">
        <f t="shared" si="1"/>
        <v>0.99045326094007424</v>
      </c>
      <c r="Q5">
        <f t="shared" si="1"/>
        <v>0.70704948983672677</v>
      </c>
      <c r="R5">
        <f t="shared" si="1"/>
        <v>0.96309914204214564</v>
      </c>
      <c r="S5">
        <f t="shared" si="2"/>
        <v>3</v>
      </c>
    </row>
    <row r="6" spans="1:19">
      <c r="A6" t="s">
        <v>87</v>
      </c>
      <c r="B6">
        <f>+IF(AND(B3=1,'pruebas de bondad de ajuste'!R3="no rechazar"),1,0)</f>
        <v>0</v>
      </c>
      <c r="C6">
        <f>+IF(AND(C3=1,'pruebas de bondad de ajuste'!S3="no rechazar"),1,0)</f>
        <v>1</v>
      </c>
      <c r="D6">
        <f>+IF(AND(D3=1,'pruebas de bondad de ajuste'!T3="no rechazar"),1,0)</f>
        <v>1</v>
      </c>
      <c r="E6">
        <f>+IF(AND(E3=1,'pruebas de bondad de ajuste'!U3="no rechazar"),1,0)</f>
        <v>1</v>
      </c>
      <c r="F6" t="s">
        <v>87</v>
      </c>
      <c r="H6">
        <f t="shared" ref="H6:H69" si="4">1+H5</f>
        <v>3</v>
      </c>
      <c r="I6">
        <f t="shared" si="0"/>
        <v>0.21550919818482087</v>
      </c>
      <c r="J6">
        <f t="shared" si="0"/>
        <v>8.5465765565298814E-3</v>
      </c>
      <c r="K6">
        <f t="shared" si="0"/>
        <v>0.1715640538499143</v>
      </c>
      <c r="L6">
        <f t="shared" si="0"/>
        <v>3.0493281669788062E-2</v>
      </c>
      <c r="N6">
        <f t="shared" si="3"/>
        <v>3</v>
      </c>
      <c r="O6">
        <f t="shared" si="1"/>
        <v>0.74837682910469427</v>
      </c>
      <c r="P6">
        <f t="shared" si="1"/>
        <v>0.99899983749660415</v>
      </c>
      <c r="Q6">
        <f t="shared" si="1"/>
        <v>0.87861354368664113</v>
      </c>
      <c r="R6">
        <f t="shared" si="1"/>
        <v>0.99359242371193368</v>
      </c>
      <c r="S6">
        <f t="shared" si="2"/>
        <v>4</v>
      </c>
    </row>
    <row r="7" spans="1:19">
      <c r="A7" t="s">
        <v>88</v>
      </c>
      <c r="B7">
        <f>+IF(AND(B2=1,'pruebas de bondad de ajuste'!Z3="no rechazar"),1,0)</f>
        <v>1</v>
      </c>
      <c r="C7">
        <f>+IF(AND(C2=1,'pruebas de bondad de ajuste'!AA3="no rechazar"),1,0)</f>
        <v>0</v>
      </c>
      <c r="D7">
        <f>+IF(AND(D2=1,'pruebas de bondad de ajuste'!AB3="no rechazar"),1,0)</f>
        <v>0</v>
      </c>
      <c r="E7">
        <f>+IF(AND(E2=1,'pruebas de bondad de ajuste'!AC3="no rechazar"),1,0)</f>
        <v>0</v>
      </c>
      <c r="F7" t="s">
        <v>88</v>
      </c>
      <c r="H7">
        <f t="shared" si="4"/>
        <v>4</v>
      </c>
      <c r="I7">
        <f t="shared" si="0"/>
        <v>0.13700227598892184</v>
      </c>
      <c r="J7">
        <f t="shared" si="0"/>
        <v>9.1570463105677285E-4</v>
      </c>
      <c r="K7">
        <f t="shared" si="0"/>
        <v>7.9994714894080499E-2</v>
      </c>
      <c r="L7">
        <f t="shared" si="0"/>
        <v>5.505731412600621E-3</v>
      </c>
      <c r="N7">
        <f t="shared" si="3"/>
        <v>4</v>
      </c>
      <c r="O7">
        <f t="shared" si="1"/>
        <v>0.88537910509361617</v>
      </c>
      <c r="P7">
        <f t="shared" si="1"/>
        <v>0.99991554212766087</v>
      </c>
      <c r="Q7">
        <f t="shared" si="1"/>
        <v>0.95860825858072163</v>
      </c>
      <c r="R7">
        <f t="shared" si="1"/>
        <v>0.99909815512453426</v>
      </c>
      <c r="S7">
        <f t="shared" si="2"/>
        <v>5</v>
      </c>
    </row>
    <row r="8" spans="1:19">
      <c r="A8" t="s">
        <v>89</v>
      </c>
      <c r="B8" t="str">
        <f>+VLOOKUP(1,B5:$F$7,5,0)</f>
        <v>poisson</v>
      </c>
      <c r="C8" t="str">
        <f>+VLOOKUP(1,C5:$F$7,4,0)</f>
        <v>poisson</v>
      </c>
      <c r="D8" t="str">
        <f>+VLOOKUP(1,D5:$F$7,3,0)</f>
        <v>binomial</v>
      </c>
      <c r="E8" t="str">
        <f>+VLOOKUP(1,E5:$F$7,2,0)</f>
        <v>poisson</v>
      </c>
      <c r="H8">
        <f t="shared" si="4"/>
        <v>5</v>
      </c>
      <c r="I8">
        <f t="shared" si="0"/>
        <v>6.967544321722309E-2</v>
      </c>
      <c r="J8">
        <f t="shared" si="0"/>
        <v>7.8488968376294854E-5</v>
      </c>
      <c r="K8">
        <f t="shared" si="0"/>
        <v>2.9496159691083424E-2</v>
      </c>
      <c r="L8">
        <f t="shared" si="0"/>
        <v>7.9527231515342329E-4</v>
      </c>
      <c r="N8">
        <f t="shared" si="3"/>
        <v>5</v>
      </c>
      <c r="O8">
        <f t="shared" si="1"/>
        <v>0.95505454831083925</v>
      </c>
      <c r="P8">
        <f t="shared" si="1"/>
        <v>0.99999403109603713</v>
      </c>
      <c r="Q8">
        <f t="shared" si="1"/>
        <v>0.98810441827180506</v>
      </c>
      <c r="R8">
        <f t="shared" si="1"/>
        <v>0.99989342743968768</v>
      </c>
      <c r="S8">
        <f t="shared" si="2"/>
        <v>6</v>
      </c>
    </row>
    <row r="9" spans="1:19">
      <c r="A9" t="s">
        <v>90</v>
      </c>
      <c r="B9">
        <f>+IF(B8="binomial",90,IF('sumario distribuciones elegidas'!B8="poisson",'estadísticos descriptivos'!B6,'pruebas de bondad de ajuste'!AD1))</f>
        <v>2.5428571428571427</v>
      </c>
      <c r="C9">
        <f>+IF(C8="binomial",90,IF('sumario distribuciones elegidas'!C8="poisson",'estadísticos descriptivos'!C6,'pruebas de bondad de ajuste'!AE1))</f>
        <v>0.42857142857142855</v>
      </c>
      <c r="D9">
        <f>+IF(D8="binomial",90,IF('sumario distribuciones elegidas'!D8="poisson",'estadísticos descriptivos'!D6,'pruebas de bondad de ajuste'!AF1))</f>
        <v>90</v>
      </c>
      <c r="E9">
        <f>+IF(E8="binomial",90,IF('sumario distribuciones elegidas'!E8="poisson",'estadísticos descriptivos'!E6,'pruebas de bondad de ajuste'!AG1))</f>
        <v>0.72222222222222221</v>
      </c>
      <c r="H9">
        <f t="shared" si="4"/>
        <v>6</v>
      </c>
      <c r="I9">
        <f t="shared" si="0"/>
        <v>2.9529116411108849E-2</v>
      </c>
      <c r="J9">
        <f t="shared" si="0"/>
        <v>5.6063548840210543E-6</v>
      </c>
      <c r="K9">
        <f t="shared" si="0"/>
        <v>8.9579551815080934E-3</v>
      </c>
      <c r="L9">
        <f t="shared" si="0"/>
        <v>9.5727223120319421E-5</v>
      </c>
      <c r="N9">
        <f t="shared" si="3"/>
        <v>6</v>
      </c>
      <c r="O9">
        <f t="shared" si="1"/>
        <v>0.98458366472194814</v>
      </c>
      <c r="P9">
        <f t="shared" si="1"/>
        <v>0.99999963745092113</v>
      </c>
      <c r="Q9">
        <f t="shared" si="1"/>
        <v>0.99706237345331317</v>
      </c>
      <c r="R9">
        <f t="shared" si="1"/>
        <v>0.99998915466280802</v>
      </c>
      <c r="S9">
        <f t="shared" si="2"/>
        <v>7</v>
      </c>
    </row>
    <row r="10" spans="1:19">
      <c r="A10" t="s">
        <v>91</v>
      </c>
      <c r="B10">
        <f>+IF(B8="binomial",'estadísticos descriptivos'!B6/90,IF('sumario distribuciones elegidas'!B8="poisson",0,'pruebas de bondad de ajuste'!AD2))</f>
        <v>0</v>
      </c>
      <c r="C10">
        <f>+IF(C8="binomial",'estadísticos descriptivos'!C6/90,IF('sumario distribuciones elegidas'!C8="poisson",0,'pruebas de bondad de ajuste'!AE2))</f>
        <v>0</v>
      </c>
      <c r="D10">
        <f>+IF(D8="binomial",'estadísticos descriptivos'!D6/90,IF('sumario distribuciones elegidas'!D8="poisson",0,'pruebas de bondad de ajuste'!AF2))</f>
        <v>2.0987654320987655E-2</v>
      </c>
      <c r="E10">
        <f>+IF(E8="binomial",'estadísticos descriptivos'!E6/90,IF('sumario distribuciones elegidas'!E8="poisson",0,'pruebas de bondad de ajuste'!AG2))</f>
        <v>0</v>
      </c>
      <c r="H10">
        <f t="shared" si="4"/>
        <v>7</v>
      </c>
      <c r="I10">
        <f t="shared" si="0"/>
        <v>1.072690351260687E-2</v>
      </c>
      <c r="J10">
        <f t="shared" si="0"/>
        <v>3.4324621738904477E-7</v>
      </c>
      <c r="K10">
        <f t="shared" si="0"/>
        <v>2.3044424426578156E-3</v>
      </c>
      <c r="L10">
        <f t="shared" si="0"/>
        <v>9.8766182584456719E-6</v>
      </c>
      <c r="N10">
        <f t="shared" si="3"/>
        <v>7</v>
      </c>
      <c r="O10">
        <f t="shared" si="1"/>
        <v>0.99531056823455499</v>
      </c>
      <c r="P10">
        <f t="shared" si="1"/>
        <v>0.99999998069713847</v>
      </c>
      <c r="Q10">
        <f t="shared" si="1"/>
        <v>0.99936681589597098</v>
      </c>
      <c r="R10">
        <f t="shared" si="1"/>
        <v>0.99999903128106649</v>
      </c>
      <c r="S10">
        <f t="shared" si="2"/>
        <v>8</v>
      </c>
    </row>
    <row r="11" spans="1:19">
      <c r="H11">
        <f t="shared" si="4"/>
        <v>8</v>
      </c>
      <c r="I11">
        <f t="shared" si="0"/>
        <v>3.4096229022214735E-3</v>
      </c>
      <c r="J11">
        <f t="shared" si="0"/>
        <v>1.8388190217270188E-8</v>
      </c>
      <c r="K11">
        <f t="shared" si="0"/>
        <v>5.1254228981560278E-4</v>
      </c>
      <c r="L11">
        <f t="shared" si="0"/>
        <v>8.9163914833189725E-7</v>
      </c>
      <c r="N11">
        <f t="shared" si="3"/>
        <v>8</v>
      </c>
      <c r="O11">
        <f t="shared" si="1"/>
        <v>0.99872019113677646</v>
      </c>
      <c r="P11">
        <f t="shared" si="1"/>
        <v>0.99999999908532866</v>
      </c>
      <c r="Q11">
        <f t="shared" si="1"/>
        <v>0.99987935818578655</v>
      </c>
      <c r="R11">
        <f t="shared" si="1"/>
        <v>0.99999992292021478</v>
      </c>
      <c r="S11">
        <f t="shared" si="2"/>
        <v>9</v>
      </c>
    </row>
    <row r="12" spans="1:19">
      <c r="H12">
        <f t="shared" si="4"/>
        <v>9</v>
      </c>
      <c r="I12">
        <f t="shared" si="0"/>
        <v>9.6335377237368434E-4</v>
      </c>
      <c r="J12">
        <f t="shared" si="0"/>
        <v>8.7562810558429592E-10</v>
      </c>
      <c r="K12">
        <f t="shared" si="0"/>
        <v>1.0010984335196167E-4</v>
      </c>
      <c r="L12">
        <f t="shared" si="0"/>
        <v>7.155128968095478E-8</v>
      </c>
      <c r="N12">
        <f t="shared" si="3"/>
        <v>9</v>
      </c>
      <c r="O12">
        <f t="shared" si="1"/>
        <v>0.99968354490915012</v>
      </c>
      <c r="P12">
        <f t="shared" si="1"/>
        <v>0.99999999996095679</v>
      </c>
      <c r="Q12">
        <f t="shared" si="1"/>
        <v>0.99997946802913851</v>
      </c>
      <c r="R12">
        <f t="shared" si="1"/>
        <v>0.99999999447150445</v>
      </c>
      <c r="S12">
        <f t="shared" si="2"/>
        <v>10</v>
      </c>
    </row>
    <row r="13" spans="1:19">
      <c r="H13">
        <f t="shared" si="4"/>
        <v>10</v>
      </c>
      <c r="I13">
        <f t="shared" si="0"/>
        <v>2.449671021178803E-4</v>
      </c>
      <c r="J13">
        <f t="shared" si="0"/>
        <v>3.7526918810755503E-11</v>
      </c>
      <c r="K13">
        <f t="shared" si="0"/>
        <v>1.738351252151969E-5</v>
      </c>
      <c r="L13">
        <f t="shared" si="0"/>
        <v>5.1675931436245076E-9</v>
      </c>
      <c r="N13">
        <f t="shared" si="3"/>
        <v>10</v>
      </c>
      <c r="O13">
        <f t="shared" si="1"/>
        <v>0.99992851201126798</v>
      </c>
      <c r="P13">
        <f t="shared" si="1"/>
        <v>0.99999999999848366</v>
      </c>
      <c r="Q13">
        <f t="shared" si="1"/>
        <v>0.99999685154166007</v>
      </c>
      <c r="R13">
        <f t="shared" si="1"/>
        <v>0.99999999963909758</v>
      </c>
      <c r="S13">
        <f t="shared" si="2"/>
        <v>11</v>
      </c>
    </row>
    <row r="14" spans="1:19">
      <c r="H14">
        <f t="shared" si="4"/>
        <v>11</v>
      </c>
      <c r="I14">
        <f t="shared" si="0"/>
        <v>5.6628758671406182E-5</v>
      </c>
      <c r="J14">
        <f t="shared" si="0"/>
        <v>1.4620877458735873E-12</v>
      </c>
      <c r="K14">
        <f t="shared" si="0"/>
        <v>2.7102575982192823E-6</v>
      </c>
      <c r="L14">
        <f t="shared" si="0"/>
        <v>3.3928641852080042E-10</v>
      </c>
      <c r="N14">
        <f t="shared" si="3"/>
        <v>11</v>
      </c>
      <c r="O14">
        <f t="shared" si="1"/>
        <v>0.99998514076993938</v>
      </c>
      <c r="P14">
        <f t="shared" si="1"/>
        <v>0.99999999999994571</v>
      </c>
      <c r="Q14">
        <f t="shared" si="1"/>
        <v>0.99999956179925831</v>
      </c>
      <c r="R14">
        <f t="shared" si="1"/>
        <v>0.99999999997838396</v>
      </c>
      <c r="S14">
        <f t="shared" si="2"/>
        <v>12</v>
      </c>
    </row>
    <row r="15" spans="1:19">
      <c r="H15">
        <f t="shared" si="4"/>
        <v>12</v>
      </c>
      <c r="I15">
        <f t="shared" si="0"/>
        <v>1.1999903623226524E-5</v>
      </c>
      <c r="J15">
        <f t="shared" si="0"/>
        <v>5.2217419495485518E-14</v>
      </c>
      <c r="K15">
        <f t="shared" si="0"/>
        <v>3.8250062572598557E-7</v>
      </c>
      <c r="L15">
        <f t="shared" si="0"/>
        <v>2.0420015929492729E-11</v>
      </c>
      <c r="N15">
        <f t="shared" si="3"/>
        <v>12</v>
      </c>
      <c r="O15">
        <f t="shared" si="1"/>
        <v>0.9999971406735626</v>
      </c>
      <c r="P15">
        <f t="shared" si="1"/>
        <v>0.99999999999999789</v>
      </c>
      <c r="Q15">
        <f t="shared" si="1"/>
        <v>0.99999994429988404</v>
      </c>
      <c r="R15">
        <f t="shared" si="1"/>
        <v>0.99999999999880396</v>
      </c>
      <c r="S15">
        <f t="shared" si="2"/>
        <v>13</v>
      </c>
    </row>
    <row r="16" spans="1:19">
      <c r="H16">
        <f t="shared" si="4"/>
        <v>13</v>
      </c>
      <c r="I16">
        <f t="shared" si="0"/>
        <v>2.3472338955322251E-6</v>
      </c>
      <c r="J16">
        <f t="shared" si="0"/>
        <v>1.7214533899610636E-15</v>
      </c>
      <c r="K16">
        <f t="shared" si="0"/>
        <v>4.919932386387227E-8</v>
      </c>
      <c r="L16">
        <f t="shared" si="0"/>
        <v>1.134445329416263E-12</v>
      </c>
      <c r="N16">
        <f t="shared" si="3"/>
        <v>13</v>
      </c>
      <c r="O16">
        <f t="shared" si="1"/>
        <v>0.99999948790745818</v>
      </c>
      <c r="P16">
        <f t="shared" si="1"/>
        <v>0.99999999999999967</v>
      </c>
      <c r="Q16">
        <f t="shared" si="1"/>
        <v>0.99999999349920787</v>
      </c>
      <c r="R16">
        <f t="shared" si="1"/>
        <v>0.99999999999993838</v>
      </c>
      <c r="S16">
        <f t="shared" si="2"/>
        <v>14</v>
      </c>
    </row>
    <row r="17" spans="8:19">
      <c r="H17">
        <f t="shared" si="4"/>
        <v>14</v>
      </c>
      <c r="I17">
        <f t="shared" si="0"/>
        <v>4.2633431980074977E-7</v>
      </c>
      <c r="J17">
        <f t="shared" si="0"/>
        <v>5.2697552753909872E-17</v>
      </c>
      <c r="K17">
        <f t="shared" si="0"/>
        <v>5.8009291062699239E-9</v>
      </c>
      <c r="L17">
        <f t="shared" si="0"/>
        <v>5.8522973342902261E-14</v>
      </c>
      <c r="N17">
        <f t="shared" si="3"/>
        <v>14</v>
      </c>
      <c r="O17">
        <f t="shared" si="1"/>
        <v>0.99999991424177803</v>
      </c>
      <c r="P17">
        <f t="shared" si="1"/>
        <v>0.99999999999999967</v>
      </c>
      <c r="Q17">
        <f t="shared" si="1"/>
        <v>0.99999999930013694</v>
      </c>
      <c r="R17">
        <f t="shared" si="1"/>
        <v>0.99999999999999689</v>
      </c>
      <c r="S17">
        <f t="shared" si="2"/>
        <v>15</v>
      </c>
    </row>
    <row r="18" spans="8:19">
      <c r="H18">
        <f t="shared" si="4"/>
        <v>15</v>
      </c>
      <c r="I18">
        <f t="shared" si="0"/>
        <v>7.2273818023365328E-8</v>
      </c>
      <c r="J18">
        <f t="shared" si="0"/>
        <v>1.5056443643974259E-18</v>
      </c>
      <c r="K18">
        <f t="shared" si="0"/>
        <v>6.3007989956290322E-10</v>
      </c>
      <c r="L18">
        <f t="shared" si="0"/>
        <v>2.8177727905841814E-15</v>
      </c>
      <c r="N18">
        <f t="shared" si="3"/>
        <v>15</v>
      </c>
      <c r="O18">
        <f t="shared" si="1"/>
        <v>0.99999998651559607</v>
      </c>
      <c r="P18">
        <f t="shared" si="1"/>
        <v>0.99999999999999967</v>
      </c>
      <c r="Q18">
        <f t="shared" si="1"/>
        <v>0.99999999993021682</v>
      </c>
      <c r="R18">
        <f t="shared" si="1"/>
        <v>0.99999999999999967</v>
      </c>
      <c r="S18">
        <f t="shared" si="2"/>
        <v>16</v>
      </c>
    </row>
    <row r="19" spans="8:19">
      <c r="H19">
        <f t="shared" si="4"/>
        <v>16</v>
      </c>
      <c r="I19">
        <f t="shared" si="0"/>
        <v>1.1486374650142011E-8</v>
      </c>
      <c r="J19">
        <f t="shared" si="0"/>
        <v>4.0329759760645291E-20</v>
      </c>
      <c r="K19">
        <f t="shared" si="0"/>
        <v>6.3315878936215625E-11</v>
      </c>
      <c r="L19">
        <f t="shared" si="0"/>
        <v>1.2719113290831364E-16</v>
      </c>
      <c r="N19">
        <f t="shared" si="3"/>
        <v>16</v>
      </c>
      <c r="O19">
        <f t="shared" si="1"/>
        <v>0.9999999980019707</v>
      </c>
      <c r="P19">
        <f t="shared" si="1"/>
        <v>0.99999999999999967</v>
      </c>
      <c r="Q19">
        <f t="shared" si="1"/>
        <v>0.99999999999353273</v>
      </c>
      <c r="R19">
        <f t="shared" si="1"/>
        <v>0.99999999999999978</v>
      </c>
      <c r="S19">
        <f t="shared" si="2"/>
        <v>17</v>
      </c>
    </row>
    <row r="20" spans="8:19">
      <c r="H20">
        <f t="shared" si="4"/>
        <v>17</v>
      </c>
      <c r="I20">
        <f t="shared" ref="I20:L35" si="5">+IF(B$8="binomial",_xlfn.BINOM.DIST($H20,B$9,B$10,0),IF(B$8="Binomial negativa",((1+(B$9-1)/$H20)/(1+B$10))*I19,_xlfn.POISSON.DIST($H20,B$9,0)))</f>
        <v>1.7181299896851028E-9</v>
      </c>
      <c r="J20">
        <f t="shared" si="5"/>
        <v>1.01671663262131E-21</v>
      </c>
      <c r="K20">
        <f t="shared" si="5"/>
        <v>5.9084174543252601E-12</v>
      </c>
      <c r="L20">
        <f t="shared" si="5"/>
        <v>5.4035448621179038E-18</v>
      </c>
      <c r="N20">
        <f t="shared" si="3"/>
        <v>17</v>
      </c>
      <c r="O20">
        <f t="shared" ref="O20:R35" si="6">+O19+I20</f>
        <v>0.99999999972010067</v>
      </c>
      <c r="P20">
        <f t="shared" si="6"/>
        <v>0.99999999999999967</v>
      </c>
      <c r="Q20">
        <f t="shared" si="6"/>
        <v>0.99999999999944111</v>
      </c>
      <c r="R20">
        <f t="shared" si="6"/>
        <v>0.99999999999999978</v>
      </c>
      <c r="S20">
        <f t="shared" si="2"/>
        <v>18</v>
      </c>
    </row>
    <row r="21" spans="8:19">
      <c r="H21">
        <f t="shared" si="4"/>
        <v>18</v>
      </c>
      <c r="I21">
        <f t="shared" si="5"/>
        <v>2.4271995092376853E-10</v>
      </c>
      <c r="J21">
        <f t="shared" si="5"/>
        <v>2.4207538871936048E-23</v>
      </c>
      <c r="K21">
        <f t="shared" si="5"/>
        <v>5.1368544632322308E-13</v>
      </c>
      <c r="L21">
        <f t="shared" si="5"/>
        <v>2.1680889878868187E-19</v>
      </c>
      <c r="N21">
        <f t="shared" si="3"/>
        <v>18</v>
      </c>
      <c r="O21">
        <f t="shared" si="6"/>
        <v>0.99999999996282063</v>
      </c>
      <c r="P21">
        <f t="shared" si="6"/>
        <v>0.99999999999999967</v>
      </c>
      <c r="Q21">
        <f t="shared" si="6"/>
        <v>0.99999999999995481</v>
      </c>
      <c r="R21">
        <f t="shared" si="6"/>
        <v>0.99999999999999978</v>
      </c>
      <c r="S21">
        <f t="shared" si="2"/>
        <v>19</v>
      </c>
    </row>
    <row r="22" spans="8:19">
      <c r="H22">
        <f t="shared" si="4"/>
        <v>19</v>
      </c>
      <c r="I22">
        <f t="shared" si="5"/>
        <v>3.2484324258970335E-11</v>
      </c>
      <c r="J22">
        <f t="shared" si="5"/>
        <v>5.4603471139705343E-25</v>
      </c>
      <c r="K22">
        <f t="shared" si="5"/>
        <v>4.1730336915087957E-14</v>
      </c>
      <c r="L22">
        <f t="shared" si="5"/>
        <v>8.2412739305639235E-21</v>
      </c>
      <c r="N22">
        <f t="shared" si="3"/>
        <v>19</v>
      </c>
      <c r="O22">
        <f t="shared" si="6"/>
        <v>0.99999999999530498</v>
      </c>
      <c r="P22">
        <f t="shared" si="6"/>
        <v>0.99999999999999967</v>
      </c>
      <c r="Q22">
        <f t="shared" si="6"/>
        <v>0.99999999999999656</v>
      </c>
      <c r="R22">
        <f t="shared" si="6"/>
        <v>0.99999999999999978</v>
      </c>
      <c r="S22">
        <f t="shared" si="2"/>
        <v>20</v>
      </c>
    </row>
    <row r="23" spans="8:19">
      <c r="H23">
        <f t="shared" si="4"/>
        <v>20</v>
      </c>
      <c r="I23">
        <f t="shared" si="5"/>
        <v>4.1301497986405574E-12</v>
      </c>
      <c r="J23">
        <f t="shared" si="5"/>
        <v>1.1700743815651141E-26</v>
      </c>
      <c r="K23">
        <f t="shared" si="5"/>
        <v>3.1758207223525282E-15</v>
      </c>
      <c r="L23">
        <f t="shared" si="5"/>
        <v>2.976015586036973E-22</v>
      </c>
      <c r="N23">
        <f t="shared" si="3"/>
        <v>20</v>
      </c>
      <c r="O23">
        <f t="shared" si="6"/>
        <v>0.99999999999943512</v>
      </c>
      <c r="P23">
        <f t="shared" si="6"/>
        <v>0.99999999999999967</v>
      </c>
      <c r="Q23">
        <f t="shared" si="6"/>
        <v>0.99999999999999978</v>
      </c>
      <c r="R23">
        <f t="shared" si="6"/>
        <v>0.99999999999999978</v>
      </c>
      <c r="S23">
        <f t="shared" si="2"/>
        <v>21</v>
      </c>
    </row>
    <row r="24" spans="8:19">
      <c r="H24">
        <f t="shared" si="4"/>
        <v>21</v>
      </c>
      <c r="I24">
        <f t="shared" si="5"/>
        <v>5.0011337697824122E-13</v>
      </c>
      <c r="J24">
        <f t="shared" si="5"/>
        <v>2.3879069011532935E-28</v>
      </c>
      <c r="K24">
        <f t="shared" si="5"/>
        <v>2.2693969012186792E-16</v>
      </c>
      <c r="L24">
        <f t="shared" si="5"/>
        <v>1.0234974237693294E-23</v>
      </c>
      <c r="N24">
        <f t="shared" si="3"/>
        <v>21</v>
      </c>
      <c r="O24">
        <f t="shared" si="6"/>
        <v>0.99999999999993527</v>
      </c>
      <c r="P24">
        <f t="shared" si="6"/>
        <v>0.99999999999999967</v>
      </c>
      <c r="Q24">
        <f t="shared" si="6"/>
        <v>1</v>
      </c>
      <c r="R24">
        <f t="shared" si="6"/>
        <v>0.99999999999999978</v>
      </c>
      <c r="S24">
        <f t="shared" si="2"/>
        <v>22</v>
      </c>
    </row>
    <row r="25" spans="8:19">
      <c r="H25">
        <f t="shared" si="4"/>
        <v>22</v>
      </c>
      <c r="I25">
        <f t="shared" si="5"/>
        <v>5.7805312403978465E-14</v>
      </c>
      <c r="J25">
        <f t="shared" si="5"/>
        <v>4.6517666905583431E-30</v>
      </c>
      <c r="K25">
        <f t="shared" si="5"/>
        <v>1.525852668307637E-17</v>
      </c>
      <c r="L25">
        <f t="shared" si="5"/>
        <v>3.3599662901518285E-25</v>
      </c>
      <c r="N25">
        <f t="shared" si="3"/>
        <v>22</v>
      </c>
      <c r="O25">
        <f t="shared" si="6"/>
        <v>0.99999999999999312</v>
      </c>
      <c r="P25">
        <f t="shared" si="6"/>
        <v>0.99999999999999967</v>
      </c>
      <c r="Q25">
        <f t="shared" si="6"/>
        <v>1</v>
      </c>
      <c r="R25">
        <f t="shared" si="6"/>
        <v>0.99999999999999978</v>
      </c>
      <c r="S25">
        <f t="shared" si="2"/>
        <v>23</v>
      </c>
    </row>
    <row r="26" spans="8:19">
      <c r="H26">
        <f t="shared" si="4"/>
        <v>23</v>
      </c>
      <c r="I26">
        <f t="shared" si="5"/>
        <v>6.3908978931106751E-15</v>
      </c>
      <c r="J26">
        <f t="shared" si="5"/>
        <v>8.6678882432764099E-32</v>
      </c>
      <c r="K26">
        <f t="shared" si="5"/>
        <v>9.6709561081398893E-19</v>
      </c>
      <c r="L26">
        <f t="shared" si="5"/>
        <v>1.0550618785500909E-26</v>
      </c>
      <c r="N26">
        <f t="shared" si="3"/>
        <v>23</v>
      </c>
      <c r="O26">
        <f t="shared" si="6"/>
        <v>0.99999999999999956</v>
      </c>
      <c r="P26">
        <f t="shared" si="6"/>
        <v>0.99999999999999967</v>
      </c>
      <c r="Q26">
        <f t="shared" si="6"/>
        <v>1</v>
      </c>
      <c r="R26">
        <f t="shared" si="6"/>
        <v>0.99999999999999978</v>
      </c>
      <c r="S26">
        <f t="shared" si="2"/>
        <v>24</v>
      </c>
    </row>
    <row r="27" spans="8:19">
      <c r="H27">
        <f t="shared" si="4"/>
        <v>24</v>
      </c>
      <c r="I27">
        <f t="shared" si="5"/>
        <v>6.7713084819863027E-16</v>
      </c>
      <c r="J27">
        <f t="shared" si="5"/>
        <v>1.5478371862993638E-33</v>
      </c>
      <c r="K27">
        <f t="shared" si="5"/>
        <v>5.787735922221133E-20</v>
      </c>
      <c r="L27">
        <f t="shared" si="5"/>
        <v>3.1749547271183406E-28</v>
      </c>
      <c r="N27">
        <f t="shared" si="3"/>
        <v>24</v>
      </c>
      <c r="O27">
        <f t="shared" si="6"/>
        <v>1.0000000000000002</v>
      </c>
      <c r="P27">
        <f t="shared" si="6"/>
        <v>0.99999999999999967</v>
      </c>
      <c r="Q27">
        <f t="shared" si="6"/>
        <v>1</v>
      </c>
      <c r="R27">
        <f t="shared" si="6"/>
        <v>0.99999999999999978</v>
      </c>
      <c r="S27">
        <f t="shared" si="2"/>
        <v>25</v>
      </c>
    </row>
    <row r="28" spans="8:19">
      <c r="H28">
        <f t="shared" si="4"/>
        <v>25</v>
      </c>
      <c r="I28">
        <f t="shared" si="5"/>
        <v>6.8873880559631585E-17</v>
      </c>
      <c r="J28">
        <f t="shared" si="5"/>
        <v>2.6534351765132061E-35</v>
      </c>
      <c r="K28">
        <f t="shared" si="5"/>
        <v>3.2755811877590096E-21</v>
      </c>
      <c r="L28">
        <f t="shared" si="5"/>
        <v>9.1720914338974481E-30</v>
      </c>
      <c r="N28">
        <f t="shared" si="3"/>
        <v>25</v>
      </c>
      <c r="O28">
        <f t="shared" si="6"/>
        <v>1.0000000000000002</v>
      </c>
      <c r="P28">
        <f t="shared" si="6"/>
        <v>0.99999999999999967</v>
      </c>
      <c r="Q28">
        <f t="shared" si="6"/>
        <v>1</v>
      </c>
      <c r="R28">
        <f t="shared" si="6"/>
        <v>0.99999999999999978</v>
      </c>
      <c r="S28">
        <f t="shared" si="2"/>
        <v>26</v>
      </c>
    </row>
    <row r="29" spans="8:19">
      <c r="H29">
        <f t="shared" si="4"/>
        <v>26</v>
      </c>
      <c r="I29">
        <f t="shared" si="5"/>
        <v>6.7360168898980614E-18</v>
      </c>
      <c r="J29">
        <f t="shared" si="5"/>
        <v>4.3737942469997817E-37</v>
      </c>
      <c r="K29">
        <f t="shared" si="5"/>
        <v>1.7555132469073955E-22</v>
      </c>
      <c r="L29">
        <f t="shared" si="5"/>
        <v>2.5478031760826177E-31</v>
      </c>
      <c r="N29">
        <f t="shared" si="3"/>
        <v>26</v>
      </c>
      <c r="O29">
        <f t="shared" si="6"/>
        <v>1.0000000000000002</v>
      </c>
      <c r="P29">
        <f t="shared" si="6"/>
        <v>0.99999999999999967</v>
      </c>
      <c r="Q29">
        <f t="shared" si="6"/>
        <v>1</v>
      </c>
      <c r="R29">
        <f t="shared" si="6"/>
        <v>0.99999999999999978</v>
      </c>
      <c r="S29">
        <f t="shared" si="2"/>
        <v>27</v>
      </c>
    </row>
    <row r="30" spans="8:19">
      <c r="H30">
        <f t="shared" si="4"/>
        <v>27</v>
      </c>
      <c r="I30">
        <f t="shared" si="5"/>
        <v>6.3439735788458154E-19</v>
      </c>
      <c r="J30">
        <f t="shared" si="5"/>
        <v>6.9425305507933486E-39</v>
      </c>
      <c r="K30">
        <f t="shared" si="5"/>
        <v>8.9206408511290759E-24</v>
      </c>
      <c r="L30">
        <f t="shared" si="5"/>
        <v>6.8151113763527353E-33</v>
      </c>
      <c r="N30">
        <f t="shared" si="3"/>
        <v>27</v>
      </c>
      <c r="O30">
        <f t="shared" si="6"/>
        <v>1.0000000000000002</v>
      </c>
      <c r="P30">
        <f t="shared" si="6"/>
        <v>0.99999999999999967</v>
      </c>
      <c r="Q30">
        <f t="shared" si="6"/>
        <v>1</v>
      </c>
      <c r="R30">
        <f t="shared" si="6"/>
        <v>0.99999999999999978</v>
      </c>
      <c r="S30">
        <f t="shared" si="2"/>
        <v>28</v>
      </c>
    </row>
    <row r="31" spans="8:19">
      <c r="H31">
        <f t="shared" si="4"/>
        <v>28</v>
      </c>
      <c r="I31">
        <f t="shared" si="5"/>
        <v>5.7613637603804296E-20</v>
      </c>
      <c r="J31">
        <f t="shared" si="5"/>
        <v>1.0626322271622328E-40</v>
      </c>
      <c r="K31">
        <f t="shared" si="5"/>
        <v>4.3028311797690762E-25</v>
      </c>
      <c r="L31">
        <f t="shared" si="5"/>
        <v>1.7578660296147714E-34</v>
      </c>
      <c r="N31">
        <f t="shared" si="3"/>
        <v>28</v>
      </c>
      <c r="O31">
        <f t="shared" si="6"/>
        <v>1.0000000000000002</v>
      </c>
      <c r="P31">
        <f t="shared" si="6"/>
        <v>0.99999999999999967</v>
      </c>
      <c r="Q31">
        <f t="shared" si="6"/>
        <v>1</v>
      </c>
      <c r="R31">
        <f t="shared" si="6"/>
        <v>0.99999999999999978</v>
      </c>
      <c r="S31">
        <f t="shared" si="2"/>
        <v>29</v>
      </c>
    </row>
    <row r="32" spans="8:19">
      <c r="H32">
        <f t="shared" si="4"/>
        <v>29</v>
      </c>
      <c r="I32">
        <f t="shared" si="5"/>
        <v>5.0518362036832474E-21</v>
      </c>
      <c r="J32">
        <f t="shared" si="5"/>
        <v>1.5703924539343547E-42</v>
      </c>
      <c r="K32">
        <f t="shared" si="5"/>
        <v>1.9720763853879039E-26</v>
      </c>
      <c r="L32">
        <f t="shared" si="5"/>
        <v>4.3778272768184507E-36</v>
      </c>
      <c r="N32">
        <f t="shared" si="3"/>
        <v>29</v>
      </c>
      <c r="O32">
        <f t="shared" si="6"/>
        <v>1.0000000000000002</v>
      </c>
      <c r="P32">
        <f t="shared" si="6"/>
        <v>0.99999999999999967</v>
      </c>
      <c r="Q32">
        <f t="shared" si="6"/>
        <v>1</v>
      </c>
      <c r="R32">
        <f t="shared" si="6"/>
        <v>0.99999999999999978</v>
      </c>
      <c r="S32">
        <f t="shared" si="2"/>
        <v>30</v>
      </c>
    </row>
    <row r="33" spans="8:19">
      <c r="H33">
        <f t="shared" si="4"/>
        <v>30</v>
      </c>
      <c r="I33">
        <f t="shared" si="5"/>
        <v>4.2820325916934304E-22</v>
      </c>
      <c r="J33">
        <f t="shared" si="5"/>
        <v>2.2434177913347936E-44</v>
      </c>
      <c r="K33">
        <f t="shared" si="5"/>
        <v>8.5962303978447923E-28</v>
      </c>
      <c r="L33">
        <f t="shared" si="5"/>
        <v>1.053921381456292E-37</v>
      </c>
      <c r="N33">
        <f t="shared" si="3"/>
        <v>30</v>
      </c>
      <c r="O33">
        <f t="shared" si="6"/>
        <v>1.0000000000000002</v>
      </c>
      <c r="P33">
        <f t="shared" si="6"/>
        <v>0.99999999999999967</v>
      </c>
      <c r="Q33">
        <f t="shared" si="6"/>
        <v>1</v>
      </c>
      <c r="R33">
        <f t="shared" si="6"/>
        <v>0.99999999999999978</v>
      </c>
      <c r="S33">
        <f t="shared" si="2"/>
        <v>31</v>
      </c>
    </row>
    <row r="34" spans="8:19">
      <c r="H34">
        <f t="shared" si="4"/>
        <v>31</v>
      </c>
      <c r="I34">
        <f t="shared" si="5"/>
        <v>3.5124506973338114E-23</v>
      </c>
      <c r="J34">
        <f t="shared" si="5"/>
        <v>3.1014992506932524E-46</v>
      </c>
      <c r="K34">
        <f t="shared" si="5"/>
        <v>3.5667554837902842E-29</v>
      </c>
      <c r="L34">
        <f t="shared" si="5"/>
        <v>2.4553723940737889E-39</v>
      </c>
      <c r="N34">
        <f t="shared" si="3"/>
        <v>31</v>
      </c>
      <c r="O34">
        <f t="shared" si="6"/>
        <v>1.0000000000000002</v>
      </c>
      <c r="P34">
        <f t="shared" si="6"/>
        <v>0.99999999999999967</v>
      </c>
      <c r="Q34">
        <f t="shared" si="6"/>
        <v>1</v>
      </c>
      <c r="R34">
        <f t="shared" si="6"/>
        <v>0.99999999999999978</v>
      </c>
      <c r="S34">
        <f t="shared" si="2"/>
        <v>32</v>
      </c>
    </row>
    <row r="35" spans="8:19">
      <c r="H35">
        <f t="shared" si="4"/>
        <v>32</v>
      </c>
      <c r="I35">
        <f t="shared" si="5"/>
        <v>2.7911438577027553E-24</v>
      </c>
      <c r="J35">
        <f t="shared" si="5"/>
        <v>4.153793639321337E-48</v>
      </c>
      <c r="K35">
        <f t="shared" si="5"/>
        <v>1.4097792206185576E-30</v>
      </c>
      <c r="L35">
        <f t="shared" si="5"/>
        <v>5.5416390838471238E-41</v>
      </c>
      <c r="N35">
        <f t="shared" si="3"/>
        <v>32</v>
      </c>
      <c r="O35">
        <f t="shared" si="6"/>
        <v>1.0000000000000002</v>
      </c>
      <c r="P35">
        <f t="shared" si="6"/>
        <v>0.99999999999999967</v>
      </c>
      <c r="Q35">
        <f t="shared" si="6"/>
        <v>1</v>
      </c>
      <c r="R35">
        <f t="shared" si="6"/>
        <v>0.99999999999999978</v>
      </c>
      <c r="S35">
        <f t="shared" si="2"/>
        <v>33</v>
      </c>
    </row>
    <row r="36" spans="8:19">
      <c r="H36">
        <f t="shared" si="4"/>
        <v>33</v>
      </c>
      <c r="I36">
        <f t="shared" ref="I36:L51" si="7">+IF(B$8="binomial",_xlfn.BINOM.DIST($H36,B$9,B$10,0),IF(B$8="Binomial negativa",((1+(B$9-1)/$H36)/(1+B$10))*I35,_xlfn.POISSON.DIST($H36,B$9,0)))</f>
        <v>2.1507515440307007E-25</v>
      </c>
      <c r="J36">
        <f t="shared" si="7"/>
        <v>5.3945371939236978E-50</v>
      </c>
      <c r="K36">
        <f t="shared" si="7"/>
        <v>5.3117899481444566E-32</v>
      </c>
      <c r="L36">
        <f t="shared" si="7"/>
        <v>1.2128166345119723E-42</v>
      </c>
      <c r="N36">
        <f t="shared" si="3"/>
        <v>33</v>
      </c>
      <c r="O36">
        <f t="shared" ref="O36:R51" si="8">+O35+I36</f>
        <v>1.0000000000000002</v>
      </c>
      <c r="P36">
        <f t="shared" si="8"/>
        <v>0.99999999999999967</v>
      </c>
      <c r="Q36">
        <f t="shared" si="8"/>
        <v>1</v>
      </c>
      <c r="R36">
        <f t="shared" si="8"/>
        <v>0.99999999999999978</v>
      </c>
      <c r="S36">
        <f t="shared" si="2"/>
        <v>34</v>
      </c>
    </row>
    <row r="37" spans="8:19">
      <c r="H37">
        <f t="shared" si="4"/>
        <v>34</v>
      </c>
      <c r="I37">
        <f t="shared" si="7"/>
        <v>1.6085452724263083E-26</v>
      </c>
      <c r="J37">
        <f t="shared" si="7"/>
        <v>6.7998367990636424E-52</v>
      </c>
      <c r="K37">
        <f t="shared" si="7"/>
        <v>1.9090291743016113E-33</v>
      </c>
      <c r="L37">
        <f t="shared" si="7"/>
        <v>2.5762444850745089E-44</v>
      </c>
      <c r="N37">
        <f t="shared" si="3"/>
        <v>34</v>
      </c>
      <c r="O37">
        <f t="shared" si="8"/>
        <v>1.0000000000000002</v>
      </c>
      <c r="P37">
        <f t="shared" si="8"/>
        <v>0.99999999999999967</v>
      </c>
      <c r="Q37">
        <f t="shared" si="8"/>
        <v>1</v>
      </c>
      <c r="R37">
        <f t="shared" si="8"/>
        <v>0.99999999999999978</v>
      </c>
      <c r="S37">
        <f t="shared" si="2"/>
        <v>35</v>
      </c>
    </row>
    <row r="38" spans="8:19">
      <c r="H38">
        <f t="shared" si="4"/>
        <v>35</v>
      </c>
      <c r="I38">
        <f t="shared" si="7"/>
        <v>1.1686573815995335E-27</v>
      </c>
      <c r="J38">
        <f t="shared" si="7"/>
        <v>8.3263307743636872E-54</v>
      </c>
      <c r="K38">
        <f t="shared" si="7"/>
        <v>6.5479941413622485E-35</v>
      </c>
      <c r="L38">
        <f t="shared" si="7"/>
        <v>5.3160600485664631E-46</v>
      </c>
      <c r="N38">
        <f t="shared" si="3"/>
        <v>35</v>
      </c>
      <c r="O38">
        <f t="shared" si="8"/>
        <v>1.0000000000000002</v>
      </c>
      <c r="P38">
        <f t="shared" si="8"/>
        <v>0.99999999999999967</v>
      </c>
      <c r="Q38">
        <f t="shared" si="8"/>
        <v>1</v>
      </c>
      <c r="R38">
        <f t="shared" si="8"/>
        <v>0.99999999999999978</v>
      </c>
      <c r="S38">
        <f t="shared" si="2"/>
        <v>36</v>
      </c>
    </row>
    <row r="39" spans="8:19">
      <c r="H39">
        <f t="shared" si="4"/>
        <v>36</v>
      </c>
      <c r="I39">
        <f t="shared" si="7"/>
        <v>8.2548021398697684E-29</v>
      </c>
      <c r="J39">
        <f t="shared" si="7"/>
        <v>9.9122985409090106E-56</v>
      </c>
      <c r="K39">
        <f t="shared" si="7"/>
        <v>2.1445896462707954E-36</v>
      </c>
      <c r="L39">
        <f t="shared" si="7"/>
        <v>1.0664935282617751E-47</v>
      </c>
      <c r="N39">
        <f t="shared" si="3"/>
        <v>36</v>
      </c>
      <c r="O39">
        <f t="shared" si="8"/>
        <v>1.0000000000000002</v>
      </c>
      <c r="P39">
        <f t="shared" si="8"/>
        <v>0.99999999999999967</v>
      </c>
      <c r="Q39">
        <f t="shared" si="8"/>
        <v>1</v>
      </c>
      <c r="R39">
        <f t="shared" si="8"/>
        <v>0.99999999999999978</v>
      </c>
      <c r="S39">
        <f t="shared" si="2"/>
        <v>37</v>
      </c>
    </row>
    <row r="40" spans="8:19">
      <c r="H40">
        <f t="shared" si="4"/>
        <v>37</v>
      </c>
      <c r="I40">
        <f t="shared" si="7"/>
        <v>5.673184482227081E-30</v>
      </c>
      <c r="J40">
        <f t="shared" si="7"/>
        <v>1.1481426881362093E-57</v>
      </c>
      <c r="K40">
        <f t="shared" si="7"/>
        <v>6.7098370719353577E-38</v>
      </c>
      <c r="L40">
        <f t="shared" si="7"/>
        <v>2.0817441242347544E-49</v>
      </c>
      <c r="N40">
        <f t="shared" si="3"/>
        <v>37</v>
      </c>
      <c r="O40">
        <f t="shared" si="8"/>
        <v>1.0000000000000002</v>
      </c>
      <c r="P40">
        <f t="shared" si="8"/>
        <v>0.99999999999999967</v>
      </c>
      <c r="Q40">
        <f t="shared" si="8"/>
        <v>1</v>
      </c>
      <c r="R40">
        <f t="shared" si="8"/>
        <v>0.99999999999999978</v>
      </c>
      <c r="S40">
        <f t="shared" si="2"/>
        <v>38</v>
      </c>
    </row>
    <row r="41" spans="8:19">
      <c r="H41">
        <f t="shared" si="4"/>
        <v>38</v>
      </c>
      <c r="I41">
        <f t="shared" si="7"/>
        <v>3.796341495625661E-31</v>
      </c>
      <c r="J41">
        <f t="shared" si="7"/>
        <v>1.2948977685746441E-59</v>
      </c>
      <c r="K41">
        <f t="shared" si="7"/>
        <v>2.0062265885092241E-39</v>
      </c>
      <c r="L41">
        <f t="shared" si="7"/>
        <v>3.9565312302706361E-51</v>
      </c>
      <c r="N41">
        <f t="shared" si="3"/>
        <v>38</v>
      </c>
      <c r="O41">
        <f t="shared" si="8"/>
        <v>1.0000000000000002</v>
      </c>
      <c r="P41">
        <f t="shared" si="8"/>
        <v>0.99999999999999967</v>
      </c>
      <c r="Q41">
        <f t="shared" si="8"/>
        <v>1</v>
      </c>
      <c r="R41">
        <f t="shared" si="8"/>
        <v>0.99999999999999978</v>
      </c>
      <c r="S41">
        <f t="shared" si="2"/>
        <v>39</v>
      </c>
    </row>
    <row r="42" spans="8:19">
      <c r="H42">
        <f t="shared" si="4"/>
        <v>39</v>
      </c>
      <c r="I42">
        <f t="shared" si="7"/>
        <v>2.4752702791991398E-32</v>
      </c>
      <c r="J42">
        <f t="shared" si="7"/>
        <v>1.4229645808512649E-61</v>
      </c>
      <c r="K42">
        <f t="shared" si="7"/>
        <v>5.7344854148225324E-41</v>
      </c>
      <c r="L42">
        <f t="shared" si="7"/>
        <v>7.3269096856864268E-53</v>
      </c>
      <c r="N42">
        <f t="shared" si="3"/>
        <v>39</v>
      </c>
      <c r="O42">
        <f t="shared" si="8"/>
        <v>1.0000000000000002</v>
      </c>
      <c r="P42">
        <f t="shared" si="8"/>
        <v>0.99999999999999967</v>
      </c>
      <c r="Q42">
        <f t="shared" si="8"/>
        <v>1</v>
      </c>
      <c r="R42">
        <f t="shared" si="8"/>
        <v>0.99999999999999978</v>
      </c>
      <c r="S42">
        <f t="shared" si="2"/>
        <v>40</v>
      </c>
    </row>
    <row r="43" spans="8:19">
      <c r="H43">
        <f t="shared" si="4"/>
        <v>40</v>
      </c>
      <c r="I43">
        <f t="shared" si="7"/>
        <v>1.5735646774908668E-33</v>
      </c>
      <c r="J43">
        <f t="shared" si="7"/>
        <v>1.5246049080549182E-63</v>
      </c>
      <c r="K43">
        <f t="shared" si="7"/>
        <v>1.5674019087802931E-42</v>
      </c>
      <c r="L43">
        <f t="shared" si="7"/>
        <v>1.3229142488044834E-54</v>
      </c>
      <c r="N43">
        <f t="shared" si="3"/>
        <v>40</v>
      </c>
      <c r="O43">
        <f t="shared" si="8"/>
        <v>1.0000000000000002</v>
      </c>
      <c r="P43">
        <f t="shared" si="8"/>
        <v>0.99999999999999967</v>
      </c>
      <c r="Q43">
        <f t="shared" si="8"/>
        <v>1</v>
      </c>
      <c r="R43">
        <f t="shared" si="8"/>
        <v>0.99999999999999978</v>
      </c>
      <c r="S43">
        <f t="shared" si="2"/>
        <v>41</v>
      </c>
    </row>
    <row r="44" spans="8:19">
      <c r="H44">
        <f t="shared" si="4"/>
        <v>41</v>
      </c>
      <c r="I44">
        <f t="shared" si="7"/>
        <v>9.7593906826958589E-35</v>
      </c>
      <c r="J44">
        <f t="shared" si="7"/>
        <v>1.5936636669563634E-65</v>
      </c>
      <c r="K44">
        <f t="shared" si="7"/>
        <v>4.0977197504482701E-44</v>
      </c>
      <c r="L44">
        <f t="shared" si="7"/>
        <v>2.3303367526366395E-56</v>
      </c>
      <c r="N44">
        <f t="shared" si="3"/>
        <v>41</v>
      </c>
      <c r="O44">
        <f t="shared" si="8"/>
        <v>1.0000000000000002</v>
      </c>
      <c r="P44">
        <f t="shared" si="8"/>
        <v>0.99999999999999967</v>
      </c>
      <c r="Q44">
        <f t="shared" si="8"/>
        <v>1</v>
      </c>
      <c r="R44">
        <f t="shared" si="8"/>
        <v>0.99999999999999978</v>
      </c>
      <c r="S44">
        <f t="shared" si="2"/>
        <v>42</v>
      </c>
    </row>
    <row r="45" spans="8:19">
      <c r="H45">
        <f t="shared" si="4"/>
        <v>42</v>
      </c>
      <c r="I45">
        <f t="shared" si="7"/>
        <v>5.9087467398635365E-36</v>
      </c>
      <c r="J45">
        <f t="shared" si="7"/>
        <v>1.6261874152616093E-67</v>
      </c>
      <c r="K45">
        <f t="shared" si="7"/>
        <v>1.024860551289098E-45</v>
      </c>
      <c r="L45">
        <f t="shared" si="7"/>
        <v>4.0071928286079965E-58</v>
      </c>
      <c r="N45">
        <f t="shared" si="3"/>
        <v>42</v>
      </c>
      <c r="O45">
        <f t="shared" si="8"/>
        <v>1.0000000000000002</v>
      </c>
      <c r="P45">
        <f t="shared" si="8"/>
        <v>0.99999999999999967</v>
      </c>
      <c r="Q45">
        <f t="shared" si="8"/>
        <v>1</v>
      </c>
      <c r="R45">
        <f t="shared" si="8"/>
        <v>0.99999999999999978</v>
      </c>
      <c r="S45">
        <f t="shared" si="2"/>
        <v>43</v>
      </c>
    </row>
    <row r="46" spans="8:19">
      <c r="H46">
        <f t="shared" si="4"/>
        <v>43</v>
      </c>
      <c r="I46">
        <f t="shared" si="7"/>
        <v>3.4942090355339554E-37</v>
      </c>
      <c r="J46">
        <f t="shared" si="7"/>
        <v>1.6207847992640332E-69</v>
      </c>
      <c r="K46">
        <f t="shared" si="7"/>
        <v>2.4525241498340193E-47</v>
      </c>
      <c r="L46">
        <f t="shared" si="7"/>
        <v>6.7304272315120021E-60</v>
      </c>
      <c r="N46">
        <f t="shared" si="3"/>
        <v>43</v>
      </c>
      <c r="O46">
        <f t="shared" si="8"/>
        <v>1.0000000000000002</v>
      </c>
      <c r="P46">
        <f t="shared" si="8"/>
        <v>0.99999999999999967</v>
      </c>
      <c r="Q46">
        <f t="shared" si="8"/>
        <v>1</v>
      </c>
      <c r="R46">
        <f t="shared" si="8"/>
        <v>0.99999999999999978</v>
      </c>
      <c r="S46">
        <f t="shared" si="2"/>
        <v>44</v>
      </c>
    </row>
    <row r="47" spans="8:19">
      <c r="H47">
        <f t="shared" si="4"/>
        <v>44</v>
      </c>
      <c r="I47">
        <f t="shared" si="7"/>
        <v>2.0193805465098863E-38</v>
      </c>
      <c r="J47">
        <f t="shared" si="7"/>
        <v>1.5786864927896608E-71</v>
      </c>
      <c r="K47">
        <f t="shared" si="7"/>
        <v>5.6160919285721362E-49</v>
      </c>
      <c r="L47">
        <f t="shared" si="7"/>
        <v>1.104741843556281E-61</v>
      </c>
      <c r="N47">
        <f t="shared" si="3"/>
        <v>44</v>
      </c>
      <c r="O47">
        <f t="shared" si="8"/>
        <v>1.0000000000000002</v>
      </c>
      <c r="P47">
        <f t="shared" si="8"/>
        <v>0.99999999999999967</v>
      </c>
      <c r="Q47">
        <f t="shared" si="8"/>
        <v>1</v>
      </c>
      <c r="R47">
        <f t="shared" si="8"/>
        <v>0.99999999999999978</v>
      </c>
      <c r="S47">
        <f t="shared" si="2"/>
        <v>45</v>
      </c>
    </row>
    <row r="48" spans="8:19">
      <c r="H48">
        <f t="shared" si="4"/>
        <v>45</v>
      </c>
      <c r="I48">
        <f t="shared" si="7"/>
        <v>1.141110277075418E-39</v>
      </c>
      <c r="J48">
        <f t="shared" si="7"/>
        <v>1.5035109455139056E-73</v>
      </c>
      <c r="K48">
        <f t="shared" si="7"/>
        <v>1.2307086697893981E-50</v>
      </c>
      <c r="L48">
        <f t="shared" si="7"/>
        <v>1.7730424649667965E-63</v>
      </c>
      <c r="N48">
        <f t="shared" si="3"/>
        <v>45</v>
      </c>
      <c r="O48">
        <f t="shared" si="8"/>
        <v>1.0000000000000002</v>
      </c>
      <c r="P48">
        <f t="shared" si="8"/>
        <v>0.99999999999999967</v>
      </c>
      <c r="Q48">
        <f t="shared" si="8"/>
        <v>1</v>
      </c>
      <c r="R48">
        <f t="shared" si="8"/>
        <v>0.99999999999999978</v>
      </c>
      <c r="S48">
        <f t="shared" si="2"/>
        <v>46</v>
      </c>
    </row>
    <row r="49" spans="8:19">
      <c r="H49">
        <f t="shared" si="4"/>
        <v>46</v>
      </c>
      <c r="I49">
        <f t="shared" si="7"/>
        <v>6.3080009105410433E-41</v>
      </c>
      <c r="J49">
        <f t="shared" si="7"/>
        <v>1.4007865951993517E-75</v>
      </c>
      <c r="K49">
        <f t="shared" si="7"/>
        <v>2.5809861625880753E-52</v>
      </c>
      <c r="L49">
        <f t="shared" si="7"/>
        <v>2.7837623242233664E-65</v>
      </c>
      <c r="N49">
        <f t="shared" si="3"/>
        <v>46</v>
      </c>
      <c r="O49">
        <f t="shared" si="8"/>
        <v>1.0000000000000002</v>
      </c>
      <c r="P49">
        <f t="shared" si="8"/>
        <v>0.99999999999999967</v>
      </c>
      <c r="Q49">
        <f t="shared" si="8"/>
        <v>1</v>
      </c>
      <c r="R49">
        <f t="shared" si="8"/>
        <v>0.99999999999999978</v>
      </c>
      <c r="S49">
        <f t="shared" si="2"/>
        <v>47</v>
      </c>
    </row>
    <row r="50" spans="8:19">
      <c r="H50">
        <f t="shared" si="4"/>
        <v>47</v>
      </c>
      <c r="I50">
        <f t="shared" si="7"/>
        <v>3.412839398408288E-42</v>
      </c>
      <c r="J50">
        <f t="shared" si="7"/>
        <v>1.2773130047410122E-77</v>
      </c>
      <c r="K50">
        <f t="shared" si="7"/>
        <v>5.1798386134418211E-54</v>
      </c>
      <c r="L50">
        <f t="shared" si="7"/>
        <v>4.2776489615724038E-67</v>
      </c>
      <c r="N50">
        <f t="shared" si="3"/>
        <v>47</v>
      </c>
      <c r="O50">
        <f t="shared" si="8"/>
        <v>1.0000000000000002</v>
      </c>
      <c r="P50">
        <f t="shared" si="8"/>
        <v>0.99999999999999967</v>
      </c>
      <c r="Q50">
        <f t="shared" si="8"/>
        <v>1</v>
      </c>
      <c r="R50">
        <f t="shared" si="8"/>
        <v>0.99999999999999978</v>
      </c>
      <c r="S50">
        <f t="shared" si="2"/>
        <v>48</v>
      </c>
    </row>
    <row r="51" spans="8:19">
      <c r="H51">
        <f t="shared" si="4"/>
        <v>48</v>
      </c>
      <c r="I51">
        <f t="shared" si="7"/>
        <v>1.8079923003472341E-43</v>
      </c>
      <c r="J51">
        <f t="shared" si="7"/>
        <v>1.1404580399473541E-79</v>
      </c>
      <c r="K51">
        <f t="shared" si="7"/>
        <v>9.9476198676595455E-56</v>
      </c>
      <c r="L51">
        <f t="shared" si="7"/>
        <v>6.4362773727364092E-69</v>
      </c>
      <c r="N51">
        <f t="shared" si="3"/>
        <v>48</v>
      </c>
      <c r="O51">
        <f t="shared" si="8"/>
        <v>1.0000000000000002</v>
      </c>
      <c r="P51">
        <f t="shared" si="8"/>
        <v>0.99999999999999967</v>
      </c>
      <c r="Q51">
        <f t="shared" si="8"/>
        <v>1</v>
      </c>
      <c r="R51">
        <f t="shared" si="8"/>
        <v>0.99999999999999978</v>
      </c>
      <c r="S51">
        <f t="shared" si="2"/>
        <v>49</v>
      </c>
    </row>
    <row r="52" spans="8:19">
      <c r="H52">
        <f t="shared" si="4"/>
        <v>49</v>
      </c>
      <c r="I52">
        <f t="shared" ref="I52:L67" si="9">+IF(B$8="binomial",_xlfn.BINOM.DIST($H52,B$9,B$10,0),IF(B$8="Binomial negativa",((1+(B$9-1)/$H52)/(1+B$10))*I51,_xlfn.POISSON.DIST($H52,B$9,0)))</f>
        <v>9.3825839493235646E-45</v>
      </c>
      <c r="J52">
        <f t="shared" si="9"/>
        <v>9.9748516613472521E-82</v>
      </c>
      <c r="K52">
        <f t="shared" si="9"/>
        <v>1.827881870836347E-57</v>
      </c>
      <c r="L52">
        <f t="shared" si="9"/>
        <v>9.4865766264823396E-71</v>
      </c>
      <c r="N52">
        <f t="shared" si="3"/>
        <v>49</v>
      </c>
      <c r="O52">
        <f t="shared" ref="O52:R67" si="10">+O51+I52</f>
        <v>1.0000000000000002</v>
      </c>
      <c r="P52">
        <f t="shared" si="10"/>
        <v>0.99999999999999967</v>
      </c>
      <c r="Q52">
        <f t="shared" si="10"/>
        <v>1</v>
      </c>
      <c r="R52">
        <f t="shared" si="10"/>
        <v>0.99999999999999978</v>
      </c>
      <c r="S52">
        <f t="shared" si="2"/>
        <v>50</v>
      </c>
    </row>
    <row r="53" spans="8:19">
      <c r="H53">
        <f t="shared" si="4"/>
        <v>50</v>
      </c>
      <c r="I53">
        <f t="shared" si="9"/>
        <v>4.7717141227990368E-46</v>
      </c>
      <c r="J53">
        <f t="shared" si="9"/>
        <v>8.5498728525833198E-84</v>
      </c>
      <c r="K53">
        <f t="shared" si="9"/>
        <v>3.2131996569305784E-59</v>
      </c>
      <c r="L53">
        <f t="shared" si="9"/>
        <v>1.3702832904918846E-72</v>
      </c>
      <c r="N53">
        <f t="shared" si="3"/>
        <v>50</v>
      </c>
      <c r="O53">
        <f t="shared" si="10"/>
        <v>1.0000000000000002</v>
      </c>
      <c r="P53">
        <f t="shared" si="10"/>
        <v>0.99999999999999967</v>
      </c>
      <c r="Q53">
        <f t="shared" si="10"/>
        <v>1</v>
      </c>
      <c r="R53">
        <f t="shared" si="10"/>
        <v>0.99999999999999978</v>
      </c>
      <c r="S53">
        <f t="shared" si="2"/>
        <v>51</v>
      </c>
    </row>
    <row r="54" spans="8:19">
      <c r="H54">
        <f t="shared" si="4"/>
        <v>51</v>
      </c>
      <c r="I54">
        <f t="shared" si="9"/>
        <v>2.3791739883983826E-47</v>
      </c>
      <c r="J54">
        <f t="shared" si="9"/>
        <v>7.184767103010954E-86</v>
      </c>
      <c r="K54">
        <f t="shared" si="9"/>
        <v>5.402605560202637E-61</v>
      </c>
      <c r="L54">
        <f t="shared" si="9"/>
        <v>1.9404883198686231E-74</v>
      </c>
      <c r="N54">
        <f t="shared" si="3"/>
        <v>51</v>
      </c>
      <c r="O54">
        <f t="shared" si="10"/>
        <v>1.0000000000000002</v>
      </c>
      <c r="P54">
        <f t="shared" si="10"/>
        <v>0.99999999999999967</v>
      </c>
      <c r="Q54">
        <f t="shared" si="10"/>
        <v>1</v>
      </c>
      <c r="R54">
        <f t="shared" si="10"/>
        <v>0.99999999999999978</v>
      </c>
      <c r="S54">
        <f t="shared" si="2"/>
        <v>52</v>
      </c>
    </row>
    <row r="55" spans="8:19">
      <c r="H55">
        <f t="shared" si="4"/>
        <v>52</v>
      </c>
      <c r="I55">
        <f t="shared" si="9"/>
        <v>1.1634422250958777E-48</v>
      </c>
      <c r="J55">
        <f t="shared" si="9"/>
        <v>5.9215113486354421E-88</v>
      </c>
      <c r="K55">
        <f t="shared" si="9"/>
        <v>8.6864086875894414E-63</v>
      </c>
      <c r="L55">
        <f t="shared" si="9"/>
        <v>2.6951226664842063E-76</v>
      </c>
      <c r="N55">
        <f t="shared" si="3"/>
        <v>52</v>
      </c>
      <c r="O55">
        <f t="shared" si="10"/>
        <v>1.0000000000000002</v>
      </c>
      <c r="P55">
        <f t="shared" si="10"/>
        <v>0.99999999999999967</v>
      </c>
      <c r="Q55">
        <f t="shared" si="10"/>
        <v>1</v>
      </c>
      <c r="R55">
        <f t="shared" si="10"/>
        <v>0.99999999999999978</v>
      </c>
      <c r="S55">
        <f t="shared" si="2"/>
        <v>53</v>
      </c>
    </row>
    <row r="56" spans="8:19">
      <c r="H56">
        <f t="shared" si="4"/>
        <v>53</v>
      </c>
      <c r="I56">
        <f t="shared" si="9"/>
        <v>5.5820139101636359E-50</v>
      </c>
      <c r="J56">
        <f t="shared" si="9"/>
        <v>4.788284109408647E-90</v>
      </c>
      <c r="K56">
        <f t="shared" si="9"/>
        <v>1.3351305080260677E-64</v>
      </c>
      <c r="L56">
        <f t="shared" si="9"/>
        <v>3.672599021414511E-78</v>
      </c>
      <c r="N56">
        <f t="shared" si="3"/>
        <v>53</v>
      </c>
      <c r="O56">
        <f t="shared" si="10"/>
        <v>1.0000000000000002</v>
      </c>
      <c r="P56">
        <f t="shared" si="10"/>
        <v>0.99999999999999967</v>
      </c>
      <c r="Q56">
        <f t="shared" si="10"/>
        <v>1</v>
      </c>
      <c r="R56">
        <f t="shared" si="10"/>
        <v>0.99999999999999978</v>
      </c>
      <c r="S56">
        <f t="shared" si="2"/>
        <v>54</v>
      </c>
    </row>
    <row r="57" spans="8:19">
      <c r="H57">
        <f t="shared" si="4"/>
        <v>54</v>
      </c>
      <c r="I57">
        <f t="shared" si="9"/>
        <v>2.6285673968495659E-51</v>
      </c>
      <c r="J57">
        <f t="shared" si="9"/>
        <v>3.8002254836576868E-92</v>
      </c>
      <c r="K57">
        <f t="shared" si="9"/>
        <v>1.9611346727111986E-66</v>
      </c>
      <c r="L57">
        <f t="shared" si="9"/>
        <v>4.9119122714391806E-80</v>
      </c>
      <c r="N57">
        <f t="shared" si="3"/>
        <v>54</v>
      </c>
      <c r="O57">
        <f t="shared" si="10"/>
        <v>1.0000000000000002</v>
      </c>
      <c r="P57">
        <f t="shared" si="10"/>
        <v>0.99999999999999967</v>
      </c>
      <c r="Q57">
        <f t="shared" si="10"/>
        <v>1</v>
      </c>
      <c r="R57">
        <f t="shared" si="10"/>
        <v>0.99999999999999978</v>
      </c>
      <c r="S57">
        <f t="shared" si="2"/>
        <v>55</v>
      </c>
    </row>
    <row r="58" spans="8:19">
      <c r="H58">
        <f t="shared" si="4"/>
        <v>55</v>
      </c>
      <c r="I58">
        <f t="shared" si="9"/>
        <v>1.2152857055564321E-52</v>
      </c>
      <c r="J58">
        <f t="shared" si="9"/>
        <v>2.961214662590379E-94</v>
      </c>
      <c r="K58">
        <f t="shared" si="9"/>
        <v>2.7518386328081862E-68</v>
      </c>
      <c r="L58">
        <f t="shared" si="9"/>
        <v>6.4499858109806589E-82</v>
      </c>
      <c r="N58">
        <f t="shared" si="3"/>
        <v>55</v>
      </c>
      <c r="O58">
        <f t="shared" si="10"/>
        <v>1.0000000000000002</v>
      </c>
      <c r="P58">
        <f t="shared" si="10"/>
        <v>0.99999999999999967</v>
      </c>
      <c r="Q58">
        <f t="shared" si="10"/>
        <v>1</v>
      </c>
      <c r="R58">
        <f t="shared" si="10"/>
        <v>0.99999999999999978</v>
      </c>
      <c r="S58">
        <f t="shared" si="2"/>
        <v>56</v>
      </c>
    </row>
    <row r="59" spans="8:19">
      <c r="H59">
        <f t="shared" si="4"/>
        <v>56</v>
      </c>
      <c r="I59">
        <f t="shared" si="9"/>
        <v>5.5183891731898316E-54</v>
      </c>
      <c r="J59">
        <f t="shared" si="9"/>
        <v>2.2662357111661278E-96</v>
      </c>
      <c r="K59">
        <f t="shared" si="9"/>
        <v>3.6870473484976577E-70</v>
      </c>
      <c r="L59">
        <f t="shared" si="9"/>
        <v>8.3184340816220148E-84</v>
      </c>
      <c r="N59">
        <f t="shared" si="3"/>
        <v>56</v>
      </c>
      <c r="O59">
        <f t="shared" si="10"/>
        <v>1.0000000000000002</v>
      </c>
      <c r="P59">
        <f t="shared" si="10"/>
        <v>0.99999999999999967</v>
      </c>
      <c r="Q59">
        <f t="shared" si="10"/>
        <v>1</v>
      </c>
      <c r="R59">
        <f t="shared" si="10"/>
        <v>0.99999999999999978</v>
      </c>
      <c r="S59">
        <f t="shared" si="2"/>
        <v>57</v>
      </c>
    </row>
    <row r="60" spans="8:19">
      <c r="H60">
        <f t="shared" si="4"/>
        <v>57</v>
      </c>
      <c r="I60">
        <f t="shared" si="9"/>
        <v>2.4618377765107184E-55</v>
      </c>
      <c r="J60">
        <f t="shared" si="9"/>
        <v>1.7039366249369805E-98</v>
      </c>
      <c r="K60">
        <f t="shared" si="9"/>
        <v>4.7147482742232179E-72</v>
      </c>
      <c r="L60">
        <f t="shared" si="9"/>
        <v>1.0539926224277628E-85</v>
      </c>
      <c r="N60">
        <f t="shared" si="3"/>
        <v>57</v>
      </c>
      <c r="O60">
        <f t="shared" si="10"/>
        <v>1.0000000000000002</v>
      </c>
      <c r="P60">
        <f t="shared" si="10"/>
        <v>0.99999999999999967</v>
      </c>
      <c r="Q60">
        <f t="shared" si="10"/>
        <v>1</v>
      </c>
      <c r="R60">
        <f t="shared" si="10"/>
        <v>0.99999999999999978</v>
      </c>
      <c r="S60">
        <f t="shared" si="2"/>
        <v>58</v>
      </c>
    </row>
    <row r="61" spans="8:19">
      <c r="H61">
        <f t="shared" si="4"/>
        <v>58</v>
      </c>
      <c r="I61">
        <f t="shared" si="9"/>
        <v>1.0793278921648431E-56</v>
      </c>
      <c r="J61">
        <f t="shared" si="9"/>
        <v>1.2590664716282845E-100</v>
      </c>
      <c r="K61">
        <f t="shared" si="9"/>
        <v>5.7506930944019166E-74</v>
      </c>
      <c r="L61">
        <f t="shared" si="9"/>
        <v>1.312442920647574E-87</v>
      </c>
      <c r="N61">
        <f t="shared" si="3"/>
        <v>58</v>
      </c>
      <c r="O61">
        <f t="shared" si="10"/>
        <v>1.0000000000000002</v>
      </c>
      <c r="P61">
        <f t="shared" si="10"/>
        <v>0.99999999999999967</v>
      </c>
      <c r="Q61">
        <f t="shared" si="10"/>
        <v>1</v>
      </c>
      <c r="R61">
        <f t="shared" si="10"/>
        <v>0.99999999999999978</v>
      </c>
      <c r="S61">
        <f t="shared" si="2"/>
        <v>59</v>
      </c>
    </row>
    <row r="62" spans="8:19">
      <c r="H62">
        <f t="shared" si="4"/>
        <v>59</v>
      </c>
      <c r="I62">
        <f t="shared" si="9"/>
        <v>4.6518248136885364E-58</v>
      </c>
      <c r="J62">
        <f t="shared" si="9"/>
        <v>9.1457612951209381E-103</v>
      </c>
      <c r="K62">
        <f t="shared" si="9"/>
        <v>6.6864236718632771E-76</v>
      </c>
      <c r="L62">
        <f t="shared" si="9"/>
        <v>1.6065685469320922E-89</v>
      </c>
      <c r="N62">
        <f t="shared" si="3"/>
        <v>59</v>
      </c>
      <c r="O62">
        <f t="shared" si="10"/>
        <v>1.0000000000000002</v>
      </c>
      <c r="P62">
        <f t="shared" si="10"/>
        <v>0.99999999999999967</v>
      </c>
      <c r="Q62">
        <f t="shared" si="10"/>
        <v>1</v>
      </c>
      <c r="R62">
        <f t="shared" si="10"/>
        <v>0.99999999999999978</v>
      </c>
      <c r="S62">
        <f t="shared" si="2"/>
        <v>60</v>
      </c>
    </row>
    <row r="63" spans="8:19">
      <c r="H63">
        <f t="shared" si="4"/>
        <v>60</v>
      </c>
      <c r="I63">
        <f t="shared" si="9"/>
        <v>1.9714876591346346E-59</v>
      </c>
      <c r="J63">
        <f t="shared" si="9"/>
        <v>6.5326866393718112E-105</v>
      </c>
      <c r="K63">
        <f t="shared" si="9"/>
        <v>7.4059379467674188E-78</v>
      </c>
      <c r="L63">
        <f t="shared" si="9"/>
        <v>1.9338325101959507E-91</v>
      </c>
      <c r="N63">
        <f t="shared" si="3"/>
        <v>60</v>
      </c>
      <c r="O63">
        <f t="shared" si="10"/>
        <v>1.0000000000000002</v>
      </c>
      <c r="P63">
        <f t="shared" si="10"/>
        <v>0.99999999999999967</v>
      </c>
      <c r="Q63">
        <f t="shared" si="10"/>
        <v>1</v>
      </c>
      <c r="R63">
        <f t="shared" si="10"/>
        <v>0.99999999999999978</v>
      </c>
      <c r="S63">
        <f t="shared" si="2"/>
        <v>61</v>
      </c>
    </row>
    <row r="64" spans="8:19">
      <c r="H64">
        <f t="shared" si="4"/>
        <v>61</v>
      </c>
      <c r="I64">
        <f t="shared" si="9"/>
        <v>8.2183794689921009E-61</v>
      </c>
      <c r="J64">
        <f t="shared" si="9"/>
        <v>4.5897095826968552E-107</v>
      </c>
      <c r="K64">
        <f t="shared" si="9"/>
        <v>7.8081333654132469E-80</v>
      </c>
      <c r="L64">
        <f t="shared" si="9"/>
        <v>2.2896013326546103E-93</v>
      </c>
      <c r="N64">
        <f t="shared" si="3"/>
        <v>61</v>
      </c>
      <c r="O64">
        <f t="shared" si="10"/>
        <v>1.0000000000000002</v>
      </c>
      <c r="P64">
        <f t="shared" si="10"/>
        <v>0.99999999999999967</v>
      </c>
      <c r="Q64">
        <f t="shared" si="10"/>
        <v>1</v>
      </c>
      <c r="R64">
        <f t="shared" si="10"/>
        <v>0.99999999999999978</v>
      </c>
      <c r="S64">
        <f t="shared" si="2"/>
        <v>62</v>
      </c>
    </row>
    <row r="65" spans="8:19">
      <c r="H65">
        <f t="shared" si="4"/>
        <v>62</v>
      </c>
      <c r="I65">
        <f t="shared" si="9"/>
        <v>3.3706717637801953E-62</v>
      </c>
      <c r="J65">
        <f t="shared" si="9"/>
        <v>3.1726103106200761E-109</v>
      </c>
      <c r="K65">
        <f t="shared" si="9"/>
        <v>7.8294141259177978E-82</v>
      </c>
      <c r="L65">
        <f t="shared" si="9"/>
        <v>2.6670983265690886E-95</v>
      </c>
      <c r="N65">
        <f t="shared" si="3"/>
        <v>62</v>
      </c>
      <c r="O65">
        <f t="shared" si="10"/>
        <v>1.0000000000000002</v>
      </c>
      <c r="P65">
        <f t="shared" si="10"/>
        <v>0.99999999999999967</v>
      </c>
      <c r="Q65">
        <f t="shared" si="10"/>
        <v>1</v>
      </c>
      <c r="R65">
        <f t="shared" si="10"/>
        <v>0.99999999999999978</v>
      </c>
      <c r="S65">
        <f t="shared" si="2"/>
        <v>63</v>
      </c>
    </row>
    <row r="66" spans="8:19">
      <c r="H66">
        <f t="shared" si="4"/>
        <v>63</v>
      </c>
      <c r="I66">
        <f t="shared" si="9"/>
        <v>1.3604979001199159E-63</v>
      </c>
      <c r="J66">
        <f t="shared" si="9"/>
        <v>2.1582383065442511E-111</v>
      </c>
      <c r="K66">
        <f t="shared" si="9"/>
        <v>7.4597192176320884E-84</v>
      </c>
      <c r="L66">
        <f t="shared" si="9"/>
        <v>3.0575201274601487E-97</v>
      </c>
      <c r="N66">
        <f t="shared" si="3"/>
        <v>63</v>
      </c>
      <c r="O66">
        <f t="shared" si="10"/>
        <v>1.0000000000000002</v>
      </c>
      <c r="P66">
        <f t="shared" si="10"/>
        <v>0.99999999999999967</v>
      </c>
      <c r="Q66">
        <f t="shared" si="10"/>
        <v>1</v>
      </c>
      <c r="R66">
        <f t="shared" si="10"/>
        <v>0.99999999999999978</v>
      </c>
      <c r="S66">
        <f t="shared" si="2"/>
        <v>64</v>
      </c>
    </row>
    <row r="67" spans="8:19">
      <c r="H67">
        <f t="shared" si="4"/>
        <v>64</v>
      </c>
      <c r="I67">
        <f t="shared" si="9"/>
        <v>5.4055496924406796E-65</v>
      </c>
      <c r="J67">
        <f t="shared" si="9"/>
        <v>1.4452488659894415E-113</v>
      </c>
      <c r="K67">
        <f t="shared" si="9"/>
        <v>6.7465540685944537E-86</v>
      </c>
      <c r="L67">
        <f t="shared" si="9"/>
        <v>3.4503265327240837E-99</v>
      </c>
      <c r="N67">
        <f t="shared" si="3"/>
        <v>64</v>
      </c>
      <c r="O67">
        <f t="shared" si="10"/>
        <v>1.0000000000000002</v>
      </c>
      <c r="P67">
        <f t="shared" si="10"/>
        <v>0.99999999999999967</v>
      </c>
      <c r="Q67">
        <f t="shared" si="10"/>
        <v>1</v>
      </c>
      <c r="R67">
        <f t="shared" si="10"/>
        <v>0.99999999999999978</v>
      </c>
      <c r="S67">
        <f t="shared" si="2"/>
        <v>65</v>
      </c>
    </row>
    <row r="68" spans="8:19">
      <c r="H68">
        <f t="shared" si="4"/>
        <v>65</v>
      </c>
      <c r="I68">
        <f t="shared" ref="I68:L83" si="11">+IF(B$8="binomial",_xlfn.BINOM.DIST($H68,B$9,B$10,0),IF(B$8="Binomial negativa",((1+(B$9-1)/$H68)/(1+B$10))*I67,_xlfn.POISSON.DIST($H68,B$9,0)))</f>
        <v>2.1146985609987727E-66</v>
      </c>
      <c r="J68">
        <f t="shared" si="11"/>
        <v>9.5291134021283948E-116</v>
      </c>
      <c r="K68">
        <f t="shared" si="11"/>
        <v>5.7851913829057774E-88</v>
      </c>
      <c r="L68">
        <f t="shared" si="11"/>
        <v>3.8336961474712726E-101</v>
      </c>
      <c r="N68">
        <f t="shared" si="3"/>
        <v>65</v>
      </c>
      <c r="O68">
        <f t="shared" ref="O68:R83" si="12">+O67+I68</f>
        <v>1.0000000000000002</v>
      </c>
      <c r="P68">
        <f t="shared" si="12"/>
        <v>0.99999999999999967</v>
      </c>
      <c r="Q68">
        <f t="shared" si="12"/>
        <v>1</v>
      </c>
      <c r="R68">
        <f t="shared" si="12"/>
        <v>0.99999999999999978</v>
      </c>
      <c r="S68">
        <f t="shared" ref="S68:S92" si="13">1+S67</f>
        <v>66</v>
      </c>
    </row>
    <row r="69" spans="8:19">
      <c r="H69">
        <f t="shared" si="4"/>
        <v>66</v>
      </c>
      <c r="I69">
        <f t="shared" si="11"/>
        <v>8.147539910341782E-68</v>
      </c>
      <c r="J69">
        <f t="shared" si="11"/>
        <v>6.1877359754078809E-118</v>
      </c>
      <c r="K69">
        <f t="shared" si="11"/>
        <v>4.697746069270921E-90</v>
      </c>
      <c r="L69">
        <f t="shared" si="11"/>
        <v>4.1951220468960878E-103</v>
      </c>
      <c r="N69">
        <f t="shared" ref="N69:N93" si="14">1+N68</f>
        <v>66</v>
      </c>
      <c r="O69">
        <f t="shared" si="12"/>
        <v>1.0000000000000002</v>
      </c>
      <c r="P69">
        <f t="shared" si="12"/>
        <v>0.99999999999999967</v>
      </c>
      <c r="Q69">
        <f t="shared" si="12"/>
        <v>1</v>
      </c>
      <c r="R69">
        <f t="shared" si="12"/>
        <v>0.99999999999999978</v>
      </c>
      <c r="S69">
        <f t="shared" si="13"/>
        <v>67</v>
      </c>
    </row>
    <row r="70" spans="8:19">
      <c r="H70">
        <f t="shared" ref="H70:H93" si="15">1+H69</f>
        <v>67</v>
      </c>
      <c r="I70">
        <f t="shared" si="11"/>
        <v>3.0922432921979207E-69</v>
      </c>
      <c r="J70">
        <f t="shared" si="11"/>
        <v>3.9580400695572256E-120</v>
      </c>
      <c r="K70">
        <f t="shared" si="11"/>
        <v>3.6074615502486398E-92</v>
      </c>
      <c r="L70">
        <f t="shared" si="11"/>
        <v>4.5221050256756361E-105</v>
      </c>
      <c r="N70">
        <f t="shared" si="14"/>
        <v>67</v>
      </c>
      <c r="O70">
        <f t="shared" si="12"/>
        <v>1.0000000000000002</v>
      </c>
      <c r="P70">
        <f t="shared" si="12"/>
        <v>0.99999999999999967</v>
      </c>
      <c r="Q70">
        <f t="shared" si="12"/>
        <v>1</v>
      </c>
      <c r="R70">
        <f t="shared" si="12"/>
        <v>0.99999999999999978</v>
      </c>
      <c r="S70">
        <f t="shared" si="13"/>
        <v>68</v>
      </c>
    </row>
    <row r="71" spans="8:19">
      <c r="H71">
        <f t="shared" si="15"/>
        <v>68</v>
      </c>
      <c r="I71">
        <f t="shared" si="11"/>
        <v>1.1563430798555244E-70</v>
      </c>
      <c r="J71">
        <f t="shared" si="11"/>
        <v>2.4945630690486446E-122</v>
      </c>
      <c r="K71">
        <f t="shared" si="11"/>
        <v>2.61575080881829E-94</v>
      </c>
      <c r="L71">
        <f t="shared" si="11"/>
        <v>4.8028893246554607E-107</v>
      </c>
      <c r="N71">
        <f t="shared" si="14"/>
        <v>68</v>
      </c>
      <c r="O71">
        <f t="shared" si="12"/>
        <v>1.0000000000000002</v>
      </c>
      <c r="P71">
        <f t="shared" si="12"/>
        <v>0.99999999999999967</v>
      </c>
      <c r="Q71">
        <f t="shared" si="12"/>
        <v>1</v>
      </c>
      <c r="R71">
        <f t="shared" si="12"/>
        <v>0.99999999999999978</v>
      </c>
      <c r="S71">
        <f t="shared" si="13"/>
        <v>69</v>
      </c>
    </row>
    <row r="72" spans="8:19">
      <c r="H72">
        <f t="shared" si="15"/>
        <v>69</v>
      </c>
      <c r="I72">
        <f t="shared" si="11"/>
        <v>4.2614713915999713E-72</v>
      </c>
      <c r="J72">
        <f t="shared" si="11"/>
        <v>1.5494180553097143E-124</v>
      </c>
      <c r="K72">
        <f t="shared" si="11"/>
        <v>1.7879101604584636E-96</v>
      </c>
      <c r="L72">
        <f t="shared" si="11"/>
        <v>5.0271788422319507E-109</v>
      </c>
      <c r="N72">
        <f t="shared" si="14"/>
        <v>69</v>
      </c>
      <c r="O72">
        <f t="shared" si="12"/>
        <v>1.0000000000000002</v>
      </c>
      <c r="P72">
        <f t="shared" si="12"/>
        <v>0.99999999999999967</v>
      </c>
      <c r="Q72">
        <f t="shared" si="12"/>
        <v>1</v>
      </c>
      <c r="R72">
        <f t="shared" si="12"/>
        <v>0.99999999999999978</v>
      </c>
      <c r="S72">
        <f t="shared" si="13"/>
        <v>70</v>
      </c>
    </row>
    <row r="73" spans="8:19">
      <c r="H73">
        <f t="shared" si="15"/>
        <v>70</v>
      </c>
      <c r="I73">
        <f t="shared" si="11"/>
        <v>1.5480447096017019E-73</v>
      </c>
      <c r="J73">
        <f t="shared" si="11"/>
        <v>9.4862329916927002E-127</v>
      </c>
      <c r="K73">
        <f t="shared" si="11"/>
        <v>1.1498539493490316E-98</v>
      </c>
      <c r="L73">
        <f t="shared" si="11"/>
        <v>5.1867718213507177E-111</v>
      </c>
      <c r="N73">
        <f t="shared" si="14"/>
        <v>70</v>
      </c>
      <c r="O73">
        <f t="shared" si="12"/>
        <v>1.0000000000000002</v>
      </c>
      <c r="P73">
        <f t="shared" si="12"/>
        <v>0.99999999999999967</v>
      </c>
      <c r="Q73">
        <f t="shared" si="12"/>
        <v>1</v>
      </c>
      <c r="R73">
        <f t="shared" si="12"/>
        <v>0.99999999999999978</v>
      </c>
      <c r="S73">
        <f t="shared" si="13"/>
        <v>71</v>
      </c>
    </row>
    <row r="74" spans="8:19">
      <c r="H74">
        <f t="shared" si="15"/>
        <v>71</v>
      </c>
      <c r="I74">
        <f t="shared" si="11"/>
        <v>5.5443049961588617E-75</v>
      </c>
      <c r="J74">
        <f t="shared" si="11"/>
        <v>5.7260963732550086E-129</v>
      </c>
      <c r="K74">
        <f t="shared" si="11"/>
        <v>6.9436858209807881E-101</v>
      </c>
      <c r="L74">
        <f t="shared" si="11"/>
        <v>5.2760589732048414E-113</v>
      </c>
      <c r="N74">
        <f t="shared" si="14"/>
        <v>71</v>
      </c>
      <c r="O74">
        <f t="shared" si="12"/>
        <v>1.0000000000000002</v>
      </c>
      <c r="P74">
        <f t="shared" si="12"/>
        <v>0.99999999999999967</v>
      </c>
      <c r="Q74">
        <f t="shared" si="12"/>
        <v>1</v>
      </c>
      <c r="R74">
        <f t="shared" si="12"/>
        <v>0.99999999999999978</v>
      </c>
      <c r="S74">
        <f t="shared" si="13"/>
        <v>72</v>
      </c>
    </row>
    <row r="75" spans="8:19">
      <c r="H75">
        <f t="shared" si="15"/>
        <v>72</v>
      </c>
      <c r="I75">
        <f t="shared" si="11"/>
        <v>1.9581077168973489E-76</v>
      </c>
      <c r="J75">
        <f t="shared" si="11"/>
        <v>3.4083906983659867E-131</v>
      </c>
      <c r="K75">
        <f t="shared" si="11"/>
        <v>3.9281394846867768E-103</v>
      </c>
      <c r="L75">
        <f t="shared" si="11"/>
        <v>5.2923431058380277E-115</v>
      </c>
      <c r="N75">
        <f t="shared" si="14"/>
        <v>72</v>
      </c>
      <c r="O75">
        <f t="shared" si="12"/>
        <v>1.0000000000000002</v>
      </c>
      <c r="P75">
        <f t="shared" si="12"/>
        <v>0.99999999999999967</v>
      </c>
      <c r="Q75">
        <f t="shared" si="12"/>
        <v>1</v>
      </c>
      <c r="R75">
        <f t="shared" si="12"/>
        <v>0.99999999999999978</v>
      </c>
      <c r="S75">
        <f t="shared" si="13"/>
        <v>73</v>
      </c>
    </row>
    <row r="76" spans="8:19">
      <c r="H76">
        <f t="shared" si="15"/>
        <v>73</v>
      </c>
      <c r="I76">
        <f t="shared" si="11"/>
        <v>6.8208057457480972E-78</v>
      </c>
      <c r="J76">
        <f t="shared" si="11"/>
        <v>2.0010121516825778E-133</v>
      </c>
      <c r="K76">
        <f t="shared" si="11"/>
        <v>2.0764060224121426E-105</v>
      </c>
      <c r="L76">
        <f t="shared" si="11"/>
        <v>5.235955888576477E-117</v>
      </c>
      <c r="N76">
        <f t="shared" si="14"/>
        <v>73</v>
      </c>
      <c r="O76">
        <f t="shared" si="12"/>
        <v>1.0000000000000002</v>
      </c>
      <c r="P76">
        <f t="shared" si="12"/>
        <v>0.99999999999999967</v>
      </c>
      <c r="Q76">
        <f t="shared" si="12"/>
        <v>1</v>
      </c>
      <c r="R76">
        <f t="shared" si="12"/>
        <v>0.99999999999999978</v>
      </c>
      <c r="S76">
        <f t="shared" si="13"/>
        <v>74</v>
      </c>
    </row>
    <row r="77" spans="8:19">
      <c r="H77">
        <f t="shared" si="15"/>
        <v>74</v>
      </c>
      <c r="I77">
        <f t="shared" si="11"/>
        <v>2.3438290014347032E-79</v>
      </c>
      <c r="J77">
        <f t="shared" si="11"/>
        <v>1.158887346534377E-135</v>
      </c>
      <c r="K77">
        <f t="shared" si="11"/>
        <v>1.0225986511657899E-107</v>
      </c>
      <c r="L77">
        <f t="shared" si="11"/>
        <v>5.1101671585208553E-119</v>
      </c>
      <c r="N77">
        <f t="shared" si="14"/>
        <v>74</v>
      </c>
      <c r="O77">
        <f t="shared" si="12"/>
        <v>1.0000000000000002</v>
      </c>
      <c r="P77">
        <f t="shared" si="12"/>
        <v>0.99999999999999967</v>
      </c>
      <c r="Q77">
        <f t="shared" si="12"/>
        <v>1</v>
      </c>
      <c r="R77">
        <f t="shared" si="12"/>
        <v>0.99999999999999978</v>
      </c>
      <c r="S77">
        <f t="shared" si="13"/>
        <v>75</v>
      </c>
    </row>
    <row r="78" spans="8:19">
      <c r="H78">
        <f t="shared" si="15"/>
        <v>75</v>
      </c>
      <c r="I78">
        <f t="shared" si="11"/>
        <v>7.9466964239120108E-81</v>
      </c>
      <c r="J78">
        <f t="shared" si="11"/>
        <v>6.6222134087676781E-138</v>
      </c>
      <c r="K78">
        <f t="shared" si="11"/>
        <v>4.676701691754373E-110</v>
      </c>
      <c r="L78">
        <f t="shared" si="11"/>
        <v>4.9209017082051058E-121</v>
      </c>
      <c r="N78">
        <f t="shared" si="14"/>
        <v>75</v>
      </c>
      <c r="O78">
        <f t="shared" si="12"/>
        <v>1.0000000000000002</v>
      </c>
      <c r="P78">
        <f t="shared" si="12"/>
        <v>0.99999999999999967</v>
      </c>
      <c r="Q78">
        <f t="shared" si="12"/>
        <v>1</v>
      </c>
      <c r="R78">
        <f t="shared" si="12"/>
        <v>0.99999999999999978</v>
      </c>
      <c r="S78">
        <f t="shared" si="13"/>
        <v>76</v>
      </c>
    </row>
    <row r="79" spans="8:19">
      <c r="H79">
        <f t="shared" si="15"/>
        <v>76</v>
      </c>
      <c r="I79">
        <f t="shared" si="11"/>
        <v>2.6588570741660572E-82</v>
      </c>
      <c r="J79">
        <f t="shared" si="11"/>
        <v>3.7343308696057973E-140</v>
      </c>
      <c r="K79">
        <f t="shared" si="11"/>
        <v>1.9787597587399566E-112</v>
      </c>
      <c r="L79">
        <f t="shared" si="11"/>
        <v>4.6762954829434018E-123</v>
      </c>
      <c r="N79">
        <f t="shared" si="14"/>
        <v>76</v>
      </c>
      <c r="O79">
        <f t="shared" si="12"/>
        <v>1.0000000000000002</v>
      </c>
      <c r="P79">
        <f t="shared" si="12"/>
        <v>0.99999999999999967</v>
      </c>
      <c r="Q79">
        <f t="shared" si="12"/>
        <v>1</v>
      </c>
      <c r="R79">
        <f t="shared" si="12"/>
        <v>0.99999999999999978</v>
      </c>
      <c r="S79">
        <f t="shared" si="13"/>
        <v>77</v>
      </c>
    </row>
    <row r="80" spans="8:19">
      <c r="H80">
        <f t="shared" si="15"/>
        <v>77</v>
      </c>
      <c r="I80">
        <f t="shared" si="11"/>
        <v>8.7806411725708028E-84</v>
      </c>
      <c r="J80">
        <f t="shared" si="11"/>
        <v>2.0784772929159966E-142</v>
      </c>
      <c r="K80">
        <f t="shared" si="11"/>
        <v>7.7126942333092587E-115</v>
      </c>
      <c r="L80">
        <f t="shared" si="11"/>
        <v>4.3861357343624765E-125</v>
      </c>
      <c r="N80">
        <f t="shared" si="14"/>
        <v>77</v>
      </c>
      <c r="O80">
        <f t="shared" si="12"/>
        <v>1.0000000000000002</v>
      </c>
      <c r="P80">
        <f t="shared" si="12"/>
        <v>0.99999999999999967</v>
      </c>
      <c r="Q80">
        <f t="shared" si="12"/>
        <v>1</v>
      </c>
      <c r="R80">
        <f t="shared" si="12"/>
        <v>0.99999999999999978</v>
      </c>
      <c r="S80">
        <f t="shared" si="13"/>
        <v>78</v>
      </c>
    </row>
    <row r="81" spans="8:19">
      <c r="H81">
        <f t="shared" si="15"/>
        <v>78</v>
      </c>
      <c r="I81">
        <f t="shared" si="11"/>
        <v>2.8625533492996362E-85</v>
      </c>
      <c r="J81">
        <f t="shared" si="11"/>
        <v>1.1420204906132298E-144</v>
      </c>
      <c r="K81">
        <f t="shared" si="11"/>
        <v>2.7556915083282139E-117</v>
      </c>
      <c r="L81">
        <f t="shared" si="11"/>
        <v>4.0612367910765101E-127</v>
      </c>
      <c r="N81">
        <f t="shared" si="14"/>
        <v>78</v>
      </c>
      <c r="O81">
        <f t="shared" si="12"/>
        <v>1.0000000000000002</v>
      </c>
      <c r="P81">
        <f t="shared" si="12"/>
        <v>0.99999999999999967</v>
      </c>
      <c r="Q81">
        <f t="shared" si="12"/>
        <v>1</v>
      </c>
      <c r="R81">
        <f t="shared" si="12"/>
        <v>0.99999999999999978</v>
      </c>
      <c r="S81">
        <f t="shared" si="13"/>
        <v>79</v>
      </c>
    </row>
    <row r="82" spans="8:19">
      <c r="H82">
        <f t="shared" si="15"/>
        <v>79</v>
      </c>
      <c r="I82">
        <f t="shared" si="11"/>
        <v>9.2140053557923732E-87</v>
      </c>
      <c r="J82">
        <f t="shared" si="11"/>
        <v>6.1954095331642936E-147</v>
      </c>
      <c r="K82">
        <f t="shared" si="11"/>
        <v>8.9734714782670784E-120</v>
      </c>
      <c r="L82">
        <f t="shared" si="11"/>
        <v>3.7128043800279285E-129</v>
      </c>
      <c r="N82">
        <f t="shared" si="14"/>
        <v>79</v>
      </c>
      <c r="O82">
        <f t="shared" si="12"/>
        <v>1.0000000000000002</v>
      </c>
      <c r="P82">
        <f t="shared" si="12"/>
        <v>0.99999999999999967</v>
      </c>
      <c r="Q82">
        <f t="shared" si="12"/>
        <v>1</v>
      </c>
      <c r="R82">
        <f t="shared" si="12"/>
        <v>0.99999999999999978</v>
      </c>
      <c r="S82">
        <f t="shared" si="13"/>
        <v>80</v>
      </c>
    </row>
    <row r="83" spans="8:19">
      <c r="H83">
        <f t="shared" si="15"/>
        <v>80</v>
      </c>
      <c r="I83">
        <f t="shared" si="11"/>
        <v>2.9287374166625968E-88</v>
      </c>
      <c r="J83">
        <f t="shared" si="11"/>
        <v>3.3189693927662309E-149</v>
      </c>
      <c r="K83">
        <f t="shared" si="11"/>
        <v>2.6450806532721354E-122</v>
      </c>
      <c r="L83">
        <f t="shared" si="11"/>
        <v>3.3518372875248423E-131</v>
      </c>
      <c r="N83">
        <f t="shared" si="14"/>
        <v>80</v>
      </c>
      <c r="O83">
        <f t="shared" si="12"/>
        <v>1.0000000000000002</v>
      </c>
      <c r="P83">
        <f t="shared" si="12"/>
        <v>0.99999999999999967</v>
      </c>
      <c r="Q83">
        <f t="shared" si="12"/>
        <v>1</v>
      </c>
      <c r="R83">
        <f t="shared" si="12"/>
        <v>0.99999999999999978</v>
      </c>
      <c r="S83">
        <f t="shared" si="13"/>
        <v>81</v>
      </c>
    </row>
    <row r="84" spans="8:19">
      <c r="H84">
        <f t="shared" si="15"/>
        <v>81</v>
      </c>
      <c r="I84">
        <f t="shared" ref="I84:L93" si="16">+IF(B$8="binomial",_xlfn.BINOM.DIST($H84,B$9,B$10,0),IF(B$8="Binomial negativa",((1+(B$9-1)/$H84)/(1+B$10))*I83,_xlfn.POISSON.DIST($H84,B$9,0)))</f>
        <v>9.1942726660659041E-90</v>
      </c>
      <c r="J84">
        <f t="shared" si="16"/>
        <v>1.756068461781096E-151</v>
      </c>
      <c r="K84">
        <f t="shared" si="16"/>
        <v>7.0005092562432445E-125</v>
      </c>
      <c r="L84">
        <f t="shared" si="16"/>
        <v>2.9886066349673051E-133</v>
      </c>
      <c r="N84">
        <f t="shared" si="14"/>
        <v>81</v>
      </c>
      <c r="O84">
        <f t="shared" ref="O84:R93" si="17">+O83+I84</f>
        <v>1.0000000000000002</v>
      </c>
      <c r="P84">
        <f t="shared" si="17"/>
        <v>0.99999999999999967</v>
      </c>
      <c r="Q84">
        <f t="shared" si="17"/>
        <v>1</v>
      </c>
      <c r="R84">
        <f t="shared" si="17"/>
        <v>0.99999999999999978</v>
      </c>
      <c r="S84">
        <f t="shared" si="13"/>
        <v>82</v>
      </c>
    </row>
    <row r="85" spans="8:19">
      <c r="H85">
        <f t="shared" si="15"/>
        <v>82</v>
      </c>
      <c r="I85">
        <f t="shared" si="16"/>
        <v>2.8511856002782876E-91</v>
      </c>
      <c r="J85">
        <f t="shared" si="16"/>
        <v>9.1780581626186431E-154</v>
      </c>
      <c r="K85">
        <f t="shared" si="16"/>
        <v>1.6471533174502072E-127</v>
      </c>
      <c r="L85">
        <f t="shared" si="16"/>
        <v>2.632241616163558E-135</v>
      </c>
      <c r="N85">
        <f t="shared" si="14"/>
        <v>82</v>
      </c>
      <c r="O85">
        <f t="shared" si="17"/>
        <v>1.0000000000000002</v>
      </c>
      <c r="P85">
        <f t="shared" si="17"/>
        <v>0.99999999999999967</v>
      </c>
      <c r="Q85">
        <f t="shared" si="17"/>
        <v>1</v>
      </c>
      <c r="R85">
        <f t="shared" si="17"/>
        <v>0.99999999999999978</v>
      </c>
      <c r="S85">
        <f t="shared" si="13"/>
        <v>83</v>
      </c>
    </row>
    <row r="86" spans="8:19">
      <c r="H86">
        <f t="shared" si="15"/>
        <v>83</v>
      </c>
      <c r="I86">
        <f t="shared" si="16"/>
        <v>8.735129722022976E-93</v>
      </c>
      <c r="J86">
        <f t="shared" si="16"/>
        <v>4.739100600319726E-156</v>
      </c>
      <c r="K86">
        <f t="shared" si="16"/>
        <v>3.4034678614570512E-130</v>
      </c>
      <c r="L86">
        <f t="shared" si="16"/>
        <v>2.2904378186163458E-137</v>
      </c>
      <c r="N86">
        <f t="shared" si="14"/>
        <v>83</v>
      </c>
      <c r="O86">
        <f t="shared" si="17"/>
        <v>1.0000000000000002</v>
      </c>
      <c r="P86">
        <f t="shared" si="17"/>
        <v>0.99999999999999967</v>
      </c>
      <c r="Q86">
        <f t="shared" si="17"/>
        <v>1</v>
      </c>
      <c r="R86">
        <f t="shared" si="17"/>
        <v>0.99999999999999978</v>
      </c>
      <c r="S86">
        <f t="shared" si="13"/>
        <v>84</v>
      </c>
    </row>
    <row r="87" spans="8:19">
      <c r="H87">
        <f t="shared" si="15"/>
        <v>84</v>
      </c>
      <c r="I87">
        <f t="shared" si="16"/>
        <v>2.6443079770750375E-94</v>
      </c>
      <c r="J87">
        <f t="shared" si="16"/>
        <v>2.4179084695509313E-158</v>
      </c>
      <c r="K87">
        <f t="shared" si="16"/>
        <v>6.0801758769200422E-133</v>
      </c>
      <c r="L87">
        <f t="shared" si="16"/>
        <v>1.9692917752654101E-139</v>
      </c>
      <c r="N87">
        <f t="shared" si="14"/>
        <v>84</v>
      </c>
      <c r="O87">
        <f t="shared" si="17"/>
        <v>1.0000000000000002</v>
      </c>
      <c r="P87">
        <f t="shared" si="17"/>
        <v>0.99999999999999967</v>
      </c>
      <c r="Q87">
        <f t="shared" si="17"/>
        <v>1</v>
      </c>
      <c r="R87">
        <f t="shared" si="17"/>
        <v>0.99999999999999978</v>
      </c>
      <c r="S87">
        <f t="shared" si="13"/>
        <v>85</v>
      </c>
    </row>
    <row r="88" spans="8:19">
      <c r="H88">
        <f t="shared" si="15"/>
        <v>85</v>
      </c>
      <c r="I88">
        <f t="shared" si="16"/>
        <v>7.9107028557874759E-96</v>
      </c>
      <c r="J88">
        <f t="shared" si="16"/>
        <v>1.219113514059307E-160</v>
      </c>
      <c r="K88">
        <f t="shared" si="16"/>
        <v>9.2007705577599509E-136</v>
      </c>
      <c r="L88">
        <f t="shared" si="16"/>
        <v>1.6732544495719358E-141</v>
      </c>
      <c r="N88">
        <f t="shared" si="14"/>
        <v>85</v>
      </c>
      <c r="O88">
        <f t="shared" si="17"/>
        <v>1.0000000000000002</v>
      </c>
      <c r="P88">
        <f t="shared" si="17"/>
        <v>0.99999999999999967</v>
      </c>
      <c r="Q88">
        <f t="shared" si="17"/>
        <v>1</v>
      </c>
      <c r="R88">
        <f t="shared" si="17"/>
        <v>0.99999999999999978</v>
      </c>
      <c r="S88">
        <f t="shared" si="13"/>
        <v>86</v>
      </c>
    </row>
    <row r="89" spans="8:19">
      <c r="H89">
        <f t="shared" si="15"/>
        <v>86</v>
      </c>
      <c r="I89">
        <f t="shared" si="16"/>
        <v>2.3390450304486983E-97</v>
      </c>
      <c r="J89">
        <f t="shared" si="16"/>
        <v>6.0753165152457685E-163</v>
      </c>
      <c r="K89">
        <f t="shared" si="16"/>
        <v>1.1467572324842275E-138</v>
      </c>
      <c r="L89">
        <f t="shared" si="16"/>
        <v>1.405187845247756E-143</v>
      </c>
      <c r="N89">
        <f t="shared" si="14"/>
        <v>86</v>
      </c>
      <c r="O89">
        <f t="shared" si="17"/>
        <v>1.0000000000000002</v>
      </c>
      <c r="P89">
        <f t="shared" si="17"/>
        <v>0.99999999999999967</v>
      </c>
      <c r="Q89">
        <f t="shared" si="17"/>
        <v>1</v>
      </c>
      <c r="R89">
        <f t="shared" si="17"/>
        <v>0.99999999999999978</v>
      </c>
      <c r="S89">
        <f t="shared" si="13"/>
        <v>87</v>
      </c>
    </row>
    <row r="90" spans="8:19">
      <c r="H90">
        <f t="shared" si="15"/>
        <v>87</v>
      </c>
      <c r="I90">
        <f t="shared" si="16"/>
        <v>6.8366176587828822E-99</v>
      </c>
      <c r="J90">
        <f t="shared" si="16"/>
        <v>2.9927667562785473E-165</v>
      </c>
      <c r="K90">
        <f t="shared" si="16"/>
        <v>1.1302849909253388E-141</v>
      </c>
      <c r="L90">
        <f t="shared" si="16"/>
        <v>1.1665033198097102E-145</v>
      </c>
      <c r="N90">
        <f t="shared" si="14"/>
        <v>87</v>
      </c>
      <c r="O90">
        <f t="shared" si="17"/>
        <v>1.0000000000000002</v>
      </c>
      <c r="P90">
        <f t="shared" si="17"/>
        <v>0.99999999999999967</v>
      </c>
      <c r="Q90">
        <f t="shared" si="17"/>
        <v>1</v>
      </c>
      <c r="R90">
        <f t="shared" si="17"/>
        <v>0.99999999999999978</v>
      </c>
      <c r="S90">
        <f t="shared" si="13"/>
        <v>88</v>
      </c>
    </row>
    <row r="91" spans="8:19">
      <c r="H91">
        <f t="shared" si="15"/>
        <v>88</v>
      </c>
      <c r="I91">
        <f t="shared" si="16"/>
        <v>1.9755161416613524E-100</v>
      </c>
      <c r="J91">
        <f t="shared" si="16"/>
        <v>1.4575162774084283E-167</v>
      </c>
      <c r="K91">
        <f t="shared" si="16"/>
        <v>8.2604228099836438E-145</v>
      </c>
      <c r="L91">
        <f t="shared" si="16"/>
        <v>9.5735752257112958E-148</v>
      </c>
      <c r="N91">
        <f t="shared" si="14"/>
        <v>88</v>
      </c>
      <c r="O91">
        <f t="shared" si="17"/>
        <v>1.0000000000000002</v>
      </c>
      <c r="P91">
        <f t="shared" si="17"/>
        <v>0.99999999999999967</v>
      </c>
      <c r="Q91">
        <f t="shared" si="17"/>
        <v>1</v>
      </c>
      <c r="R91">
        <f t="shared" si="17"/>
        <v>0.99999999999999978</v>
      </c>
      <c r="S91">
        <f t="shared" si="13"/>
        <v>89</v>
      </c>
    </row>
    <row r="92" spans="8:19">
      <c r="H92">
        <f t="shared" si="15"/>
        <v>89</v>
      </c>
      <c r="I92">
        <f t="shared" si="16"/>
        <v>5.644331833318106E-102</v>
      </c>
      <c r="J92">
        <f t="shared" si="16"/>
        <v>7.0185374514053111E-170</v>
      </c>
      <c r="K92">
        <f t="shared" si="16"/>
        <v>3.9794037085659778E-148</v>
      </c>
      <c r="L92">
        <f t="shared" si="16"/>
        <v>7.7688188473316293E-150</v>
      </c>
      <c r="N92">
        <f t="shared" si="14"/>
        <v>89</v>
      </c>
      <c r="O92">
        <f t="shared" si="17"/>
        <v>1.0000000000000002</v>
      </c>
      <c r="P92">
        <f t="shared" si="17"/>
        <v>0.99999999999999967</v>
      </c>
      <c r="Q92">
        <f t="shared" si="17"/>
        <v>1</v>
      </c>
      <c r="R92">
        <f t="shared" si="17"/>
        <v>0.99999999999999978</v>
      </c>
      <c r="S92">
        <f t="shared" si="13"/>
        <v>90</v>
      </c>
    </row>
    <row r="93" spans="8:19">
      <c r="H93">
        <f t="shared" si="15"/>
        <v>90</v>
      </c>
      <c r="I93">
        <f t="shared" si="16"/>
        <v>1.5947477243342985E-103</v>
      </c>
      <c r="J93">
        <f t="shared" si="16"/>
        <v>3.342160691145253E-172</v>
      </c>
      <c r="K93">
        <f t="shared" si="16"/>
        <v>9.4787534041780675E-152</v>
      </c>
      <c r="L93">
        <f t="shared" si="16"/>
        <v>6.2342373466238741E-152</v>
      </c>
      <c r="N93">
        <f t="shared" si="14"/>
        <v>90</v>
      </c>
      <c r="O93">
        <f t="shared" si="17"/>
        <v>1.0000000000000002</v>
      </c>
      <c r="P93">
        <f t="shared" si="17"/>
        <v>0.99999999999999967</v>
      </c>
      <c r="Q93">
        <f t="shared" si="17"/>
        <v>1</v>
      </c>
      <c r="R93">
        <f t="shared" si="17"/>
        <v>0.99999999999999978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pasos</vt:lpstr>
      <vt:lpstr>datos</vt:lpstr>
      <vt:lpstr>desglose</vt:lpstr>
      <vt:lpstr>estadísticos descriptivos</vt:lpstr>
      <vt:lpstr>pruebas de bondad de ajuste</vt:lpstr>
      <vt:lpstr>sumario distribuciones elegidas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Daniel López Barrientos</dc:creator>
  <cp:lastModifiedBy>Jose Daniel Lopez Barrientos</cp:lastModifiedBy>
  <dcterms:created xsi:type="dcterms:W3CDTF">2026-05-24T04:57:12Z</dcterms:created>
  <dcterms:modified xsi:type="dcterms:W3CDTF">2026-10-14T23:00:12Z</dcterms:modified>
</cp:coreProperties>
</file>