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C:\Users\daniel.lopez\Dropbox\Pepe\Investigación\Proyectos\Futbol\UNITED26\RONDA DE 2\"/>
    </mc:Choice>
  </mc:AlternateContent>
  <xr:revisionPtr revIDLastSave="0" documentId="13_ncr:1_{1E978DFA-EAF3-453D-A838-C8045E1BB724}" xr6:coauthVersionLast="36" xr6:coauthVersionMax="47" xr10:uidLastSave="{00000000-0000-0000-0000-000000000000}"/>
  <bookViews>
    <workbookView xWindow="-120" yWindow="-120" windowWidth="29040" windowHeight="15720" activeTab="5" xr2:uid="{4633C138-E5EB-4742-972F-558EF3C0724F}"/>
  </bookViews>
  <sheets>
    <sheet name="pasos" sheetId="3" r:id="rId1"/>
    <sheet name="datos" sheetId="1" r:id="rId2"/>
    <sheet name="desglose" sheetId="2" r:id="rId3"/>
    <sheet name="estadísticos descriptivos" sheetId="4" r:id="rId4"/>
    <sheet name="pruebas de bondad de ajuste" sheetId="5" r:id="rId5"/>
    <sheet name="sumario distribuciones elegidas" sheetId="6" r:id="rId6"/>
  </sheets>
  <definedNames>
    <definedName name="_xlnm._FilterDatabase" localSheetId="1" hidden="1">datos!$A$1:$M$42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K43" i="1" l="1"/>
  <c r="L43" i="1"/>
  <c r="M42" i="1" l="1"/>
  <c r="L42" i="1"/>
  <c r="K42" i="1"/>
  <c r="N4" i="6"/>
  <c r="N5" i="6" s="1"/>
  <c r="N6" i="6" s="1"/>
  <c r="N7" i="6" s="1"/>
  <c r="N8" i="6" s="1"/>
  <c r="N9" i="6" s="1"/>
  <c r="N10" i="6" s="1"/>
  <c r="N11" i="6" s="1"/>
  <c r="N12" i="6" s="1"/>
  <c r="N13" i="6" s="1"/>
  <c r="N14" i="6" s="1"/>
  <c r="N15" i="6" s="1"/>
  <c r="N16" i="6" s="1"/>
  <c r="N17" i="6" s="1"/>
  <c r="N18" i="6" s="1"/>
  <c r="N19" i="6" s="1"/>
  <c r="N20" i="6" s="1"/>
  <c r="N21" i="6" s="1"/>
  <c r="N22" i="6" s="1"/>
  <c r="N23" i="6" s="1"/>
  <c r="N24" i="6" s="1"/>
  <c r="N25" i="6" s="1"/>
  <c r="N26" i="6" s="1"/>
  <c r="N27" i="6" s="1"/>
  <c r="N28" i="6" s="1"/>
  <c r="N29" i="6" s="1"/>
  <c r="N30" i="6" s="1"/>
  <c r="N31" i="6" s="1"/>
  <c r="N32" i="6" s="1"/>
  <c r="N33" i="6" s="1"/>
  <c r="N34" i="6" s="1"/>
  <c r="N35" i="6" s="1"/>
  <c r="N36" i="6" s="1"/>
  <c r="N37" i="6" s="1"/>
  <c r="N38" i="6" s="1"/>
  <c r="N39" i="6" s="1"/>
  <c r="N40" i="6" s="1"/>
  <c r="N41" i="6" s="1"/>
  <c r="N42" i="6" s="1"/>
  <c r="N43" i="6" s="1"/>
  <c r="N44" i="6" s="1"/>
  <c r="N45" i="6" s="1"/>
  <c r="N46" i="6" s="1"/>
  <c r="N47" i="6" s="1"/>
  <c r="N48" i="6" s="1"/>
  <c r="N49" i="6" s="1"/>
  <c r="N50" i="6" s="1"/>
  <c r="N51" i="6" s="1"/>
  <c r="N52" i="6" s="1"/>
  <c r="N53" i="6" s="1"/>
  <c r="N54" i="6" s="1"/>
  <c r="N55" i="6" s="1"/>
  <c r="N56" i="6" s="1"/>
  <c r="N57" i="6" s="1"/>
  <c r="N58" i="6" s="1"/>
  <c r="N59" i="6" s="1"/>
  <c r="N60" i="6" s="1"/>
  <c r="N61" i="6" s="1"/>
  <c r="N62" i="6" s="1"/>
  <c r="N63" i="6" s="1"/>
  <c r="N64" i="6" s="1"/>
  <c r="N65" i="6" s="1"/>
  <c r="N66" i="6" s="1"/>
  <c r="N67" i="6" s="1"/>
  <c r="N68" i="6" s="1"/>
  <c r="N69" i="6" s="1"/>
  <c r="N70" i="6" s="1"/>
  <c r="N71" i="6" s="1"/>
  <c r="N72" i="6" s="1"/>
  <c r="N73" i="6" s="1"/>
  <c r="N74" i="6" s="1"/>
  <c r="N75" i="6" s="1"/>
  <c r="N76" i="6" s="1"/>
  <c r="N77" i="6" s="1"/>
  <c r="N78" i="6" s="1"/>
  <c r="N79" i="6" s="1"/>
  <c r="N80" i="6" s="1"/>
  <c r="N81" i="6" s="1"/>
  <c r="N82" i="6" s="1"/>
  <c r="N83" i="6" s="1"/>
  <c r="N84" i="6" s="1"/>
  <c r="N85" i="6" s="1"/>
  <c r="N86" i="6" s="1"/>
  <c r="N87" i="6" s="1"/>
  <c r="N88" i="6" s="1"/>
  <c r="N89" i="6" s="1"/>
  <c r="N90" i="6" s="1"/>
  <c r="N91" i="6" s="1"/>
  <c r="N92" i="6" s="1"/>
  <c r="N93" i="6" s="1"/>
  <c r="H4" i="6"/>
  <c r="H5" i="6" s="1"/>
  <c r="H6" i="6" s="1"/>
  <c r="H7" i="6" s="1"/>
  <c r="S3" i="6"/>
  <c r="S4" i="6" s="1"/>
  <c r="S5" i="6" s="1"/>
  <c r="S6" i="6" s="1"/>
  <c r="S7" i="6" s="1"/>
  <c r="S8" i="6" s="1"/>
  <c r="S9" i="6" s="1"/>
  <c r="S10" i="6" s="1"/>
  <c r="S11" i="6" s="1"/>
  <c r="S12" i="6" s="1"/>
  <c r="S13" i="6" s="1"/>
  <c r="S14" i="6" s="1"/>
  <c r="S15" i="6" s="1"/>
  <c r="S16" i="6" s="1"/>
  <c r="S17" i="6" s="1"/>
  <c r="S18" i="6" s="1"/>
  <c r="S19" i="6" s="1"/>
  <c r="S20" i="6" s="1"/>
  <c r="S21" i="6" s="1"/>
  <c r="S22" i="6" s="1"/>
  <c r="S23" i="6" s="1"/>
  <c r="S24" i="6" s="1"/>
  <c r="S25" i="6" s="1"/>
  <c r="S26" i="6" s="1"/>
  <c r="S27" i="6" s="1"/>
  <c r="S28" i="6" s="1"/>
  <c r="S29" i="6" s="1"/>
  <c r="S30" i="6" s="1"/>
  <c r="S31" i="6" s="1"/>
  <c r="S32" i="6" s="1"/>
  <c r="S33" i="6" s="1"/>
  <c r="S34" i="6" s="1"/>
  <c r="S35" i="6" s="1"/>
  <c r="S36" i="6" s="1"/>
  <c r="S37" i="6" s="1"/>
  <c r="S38" i="6" s="1"/>
  <c r="S39" i="6" s="1"/>
  <c r="S40" i="6" s="1"/>
  <c r="S41" i="6" s="1"/>
  <c r="S42" i="6" s="1"/>
  <c r="S43" i="6" s="1"/>
  <c r="S44" i="6" s="1"/>
  <c r="S45" i="6" s="1"/>
  <c r="S46" i="6" s="1"/>
  <c r="S47" i="6" s="1"/>
  <c r="S48" i="6" s="1"/>
  <c r="S49" i="6" s="1"/>
  <c r="S50" i="6" s="1"/>
  <c r="S51" i="6" s="1"/>
  <c r="S52" i="6" s="1"/>
  <c r="S53" i="6" s="1"/>
  <c r="S54" i="6" s="1"/>
  <c r="S55" i="6" s="1"/>
  <c r="S56" i="6" s="1"/>
  <c r="S57" i="6" s="1"/>
  <c r="S58" i="6" s="1"/>
  <c r="S59" i="6" s="1"/>
  <c r="S60" i="6" s="1"/>
  <c r="S61" i="6" s="1"/>
  <c r="S62" i="6" s="1"/>
  <c r="S63" i="6" s="1"/>
  <c r="S64" i="6" s="1"/>
  <c r="S65" i="6" s="1"/>
  <c r="S66" i="6" s="1"/>
  <c r="S67" i="6" s="1"/>
  <c r="S68" i="6" s="1"/>
  <c r="S69" i="6" s="1"/>
  <c r="S70" i="6" s="1"/>
  <c r="S71" i="6" s="1"/>
  <c r="S72" i="6" s="1"/>
  <c r="S73" i="6" s="1"/>
  <c r="S74" i="6" s="1"/>
  <c r="S75" i="6" s="1"/>
  <c r="S76" i="6" s="1"/>
  <c r="S77" i="6" s="1"/>
  <c r="S78" i="6" s="1"/>
  <c r="S79" i="6" s="1"/>
  <c r="S80" i="6" s="1"/>
  <c r="S81" i="6" s="1"/>
  <c r="S82" i="6" s="1"/>
  <c r="S83" i="6" s="1"/>
  <c r="S84" i="6" s="1"/>
  <c r="S85" i="6" s="1"/>
  <c r="S86" i="6" s="1"/>
  <c r="S87" i="6" s="1"/>
  <c r="S88" i="6" s="1"/>
  <c r="S89" i="6" s="1"/>
  <c r="S90" i="6" s="1"/>
  <c r="S91" i="6" s="1"/>
  <c r="S92" i="6" s="1"/>
  <c r="H8" i="6" l="1"/>
  <c r="H9" i="6" l="1"/>
  <c r="H10" i="6" l="1"/>
  <c r="H11" i="6" l="1"/>
  <c r="H12" i="6" l="1"/>
  <c r="H13" i="6" l="1"/>
  <c r="H14" i="6" l="1"/>
  <c r="H15" i="6" l="1"/>
  <c r="H16" i="6" l="1"/>
  <c r="H17" i="6" l="1"/>
  <c r="H18" i="6" l="1"/>
  <c r="H19" i="6" l="1"/>
  <c r="H20" i="6" l="1"/>
  <c r="H21" i="6" l="1"/>
  <c r="H22" i="6" l="1"/>
  <c r="H23" i="6" l="1"/>
  <c r="H24" i="6" l="1"/>
  <c r="H25" i="6" l="1"/>
  <c r="H26" i="6" l="1"/>
  <c r="H27" i="6" l="1"/>
  <c r="H28" i="6" l="1"/>
  <c r="H29" i="6" l="1"/>
  <c r="H30" i="6" l="1"/>
  <c r="H31" i="6" l="1"/>
  <c r="H32" i="6" l="1"/>
  <c r="H33" i="6" l="1"/>
  <c r="H34" i="6" l="1"/>
  <c r="H35" i="6" l="1"/>
  <c r="H36" i="6" l="1"/>
  <c r="H37" i="6" l="1"/>
  <c r="H38" i="6" l="1"/>
  <c r="H39" i="6" l="1"/>
  <c r="H40" i="6" l="1"/>
  <c r="H41" i="6" l="1"/>
  <c r="H42" i="6" l="1"/>
  <c r="H43" i="6" l="1"/>
  <c r="H44" i="6" l="1"/>
  <c r="H45" i="6" l="1"/>
  <c r="H46" i="6" l="1"/>
  <c r="H47" i="6" l="1"/>
  <c r="H48" i="6" l="1"/>
  <c r="H49" i="6" l="1"/>
  <c r="H50" i="6" l="1"/>
  <c r="H51" i="6" l="1"/>
  <c r="H52" i="6" l="1"/>
  <c r="H53" i="6" l="1"/>
  <c r="H54" i="6" l="1"/>
  <c r="H55" i="6" l="1"/>
  <c r="H56" i="6" l="1"/>
  <c r="H57" i="6" l="1"/>
  <c r="H58" i="6" l="1"/>
  <c r="H59" i="6" l="1"/>
  <c r="H60" i="6" l="1"/>
  <c r="H61" i="6" l="1"/>
  <c r="H62" i="6" l="1"/>
  <c r="H63" i="6" l="1"/>
  <c r="H64" i="6" l="1"/>
  <c r="H65" i="6" l="1"/>
  <c r="H66" i="6" l="1"/>
  <c r="H67" i="6" l="1"/>
  <c r="H68" i="6" l="1"/>
  <c r="H69" i="6" l="1"/>
  <c r="H70" i="6" l="1"/>
  <c r="H71" i="6" l="1"/>
  <c r="H72" i="6" l="1"/>
  <c r="H73" i="6" l="1"/>
  <c r="H74" i="6" l="1"/>
  <c r="H75" i="6" l="1"/>
  <c r="H76" i="6" l="1"/>
  <c r="H77" i="6" l="1"/>
  <c r="H78" i="6" l="1"/>
  <c r="H79" i="6" l="1"/>
  <c r="H80" i="6" l="1"/>
  <c r="H81" i="6" l="1"/>
  <c r="H82" i="6" l="1"/>
  <c r="H83" i="6" l="1"/>
  <c r="H84" i="6" l="1"/>
  <c r="H85" i="6" l="1"/>
  <c r="H86" i="6" l="1"/>
  <c r="H87" i="6" l="1"/>
  <c r="H88" i="6" l="1"/>
  <c r="H89" i="6" l="1"/>
  <c r="H90" i="6" l="1"/>
  <c r="H91" i="6" l="1"/>
  <c r="H92" i="6" l="1"/>
  <c r="H93" i="6" l="1"/>
  <c r="M41" i="1" l="1"/>
  <c r="L41" i="1"/>
  <c r="K41" i="1"/>
  <c r="L34" i="1"/>
  <c r="L35" i="1"/>
  <c r="L36" i="1"/>
  <c r="L37" i="1"/>
  <c r="L38" i="1"/>
  <c r="L39" i="1"/>
  <c r="L40" i="1"/>
  <c r="K34" i="1"/>
  <c r="K35" i="1"/>
  <c r="K36" i="1"/>
  <c r="K37" i="1"/>
  <c r="K38" i="1"/>
  <c r="K39" i="1"/>
  <c r="K40" i="1"/>
  <c r="L2" i="1" l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E4" i="5" l="1"/>
  <c r="D4" i="5"/>
  <c r="C4" i="5"/>
  <c r="B4" i="5"/>
  <c r="E2" i="4" l="1"/>
  <c r="D2" i="4"/>
  <c r="C2" i="4"/>
  <c r="B2" i="4"/>
  <c r="E3" i="4"/>
  <c r="D3" i="4"/>
  <c r="C3" i="4"/>
  <c r="B3" i="4"/>
  <c r="A5" i="5"/>
  <c r="E7" i="4"/>
  <c r="E6" i="4"/>
  <c r="E5" i="4"/>
  <c r="E4" i="4"/>
  <c r="D7" i="4"/>
  <c r="D6" i="4"/>
  <c r="D5" i="4"/>
  <c r="D4" i="4"/>
  <c r="C7" i="4"/>
  <c r="C6" i="4"/>
  <c r="C5" i="4"/>
  <c r="C4" i="4"/>
  <c r="B7" i="4"/>
  <c r="B6" i="4"/>
  <c r="B5" i="4"/>
  <c r="B4" i="4"/>
  <c r="M2" i="1"/>
  <c r="M3" i="1" l="1"/>
  <c r="B2" i="6"/>
  <c r="B8" i="4"/>
  <c r="B4" i="6" s="1"/>
  <c r="N4" i="5"/>
  <c r="R4" i="5" s="1"/>
  <c r="F4" i="5"/>
  <c r="AD2" i="5"/>
  <c r="AD1" i="5"/>
  <c r="C2" i="6"/>
  <c r="C8" i="4"/>
  <c r="C4" i="6" s="1"/>
  <c r="O4" i="5"/>
  <c r="S4" i="5" s="1"/>
  <c r="G4" i="5"/>
  <c r="K4" i="5" s="1"/>
  <c r="AE2" i="5"/>
  <c r="AE1" i="5"/>
  <c r="D2" i="6"/>
  <c r="D8" i="4"/>
  <c r="D4" i="6" s="1"/>
  <c r="P4" i="5"/>
  <c r="T4" i="5" s="1"/>
  <c r="H4" i="5"/>
  <c r="L4" i="5" s="1"/>
  <c r="AF2" i="5"/>
  <c r="AF1" i="5"/>
  <c r="E2" i="6"/>
  <c r="E8" i="4"/>
  <c r="E4" i="6" s="1"/>
  <c r="Q4" i="5"/>
  <c r="U4" i="5" s="1"/>
  <c r="I4" i="5"/>
  <c r="M4" i="5" s="1"/>
  <c r="AG2" i="5"/>
  <c r="AG1" i="5"/>
  <c r="Q5" i="5"/>
  <c r="P5" i="5"/>
  <c r="O5" i="5"/>
  <c r="N5" i="5"/>
  <c r="I5" i="5"/>
  <c r="H5" i="5"/>
  <c r="D5" i="5"/>
  <c r="G5" i="5"/>
  <c r="C5" i="5"/>
  <c r="F5" i="5"/>
  <c r="B5" i="5"/>
  <c r="E5" i="5"/>
  <c r="A6" i="5"/>
  <c r="R5" i="5" l="1"/>
  <c r="Q6" i="5"/>
  <c r="P6" i="5"/>
  <c r="O6" i="5"/>
  <c r="N6" i="5"/>
  <c r="I6" i="5"/>
  <c r="H6" i="5"/>
  <c r="C6" i="5"/>
  <c r="G6" i="5"/>
  <c r="F6" i="5"/>
  <c r="B6" i="5"/>
  <c r="E6" i="5"/>
  <c r="D6" i="5"/>
  <c r="M5" i="5"/>
  <c r="S5" i="5"/>
  <c r="K5" i="5"/>
  <c r="T5" i="5"/>
  <c r="L5" i="5"/>
  <c r="U5" i="5"/>
  <c r="Y4" i="5"/>
  <c r="E3" i="6"/>
  <c r="X4" i="5"/>
  <c r="D3" i="6"/>
  <c r="W4" i="5"/>
  <c r="C3" i="6"/>
  <c r="V4" i="5"/>
  <c r="B3" i="6"/>
  <c r="J5" i="5"/>
  <c r="J4" i="5"/>
  <c r="A7" i="5"/>
  <c r="R6" i="5" l="1"/>
  <c r="J6" i="5"/>
  <c r="M4" i="1"/>
  <c r="Q7" i="5"/>
  <c r="P7" i="5"/>
  <c r="O7" i="5"/>
  <c r="N7" i="5"/>
  <c r="I7" i="5"/>
  <c r="H7" i="5"/>
  <c r="C7" i="5"/>
  <c r="G7" i="5"/>
  <c r="F7" i="5"/>
  <c r="B7" i="5"/>
  <c r="E7" i="5"/>
  <c r="D7" i="5"/>
  <c r="Z4" i="5"/>
  <c r="V5" i="5"/>
  <c r="AA4" i="5"/>
  <c r="W5" i="5"/>
  <c r="AB4" i="5"/>
  <c r="X5" i="5"/>
  <c r="AC4" i="5"/>
  <c r="Y5" i="5"/>
  <c r="T6" i="5"/>
  <c r="L6" i="5"/>
  <c r="U6" i="5"/>
  <c r="M6" i="5"/>
  <c r="S6" i="5"/>
  <c r="K6" i="5"/>
  <c r="A8" i="5"/>
  <c r="Q8" i="5" l="1"/>
  <c r="P8" i="5"/>
  <c r="O8" i="5"/>
  <c r="N8" i="5"/>
  <c r="I8" i="5"/>
  <c r="H8" i="5"/>
  <c r="C8" i="5"/>
  <c r="G8" i="5"/>
  <c r="F8" i="5"/>
  <c r="B8" i="5"/>
  <c r="J8" i="5" s="1"/>
  <c r="E8" i="5"/>
  <c r="D8" i="5"/>
  <c r="Y6" i="5"/>
  <c r="AC5" i="5"/>
  <c r="X6" i="5"/>
  <c r="AB5" i="5"/>
  <c r="AA5" i="5"/>
  <c r="W6" i="5"/>
  <c r="Z5" i="5"/>
  <c r="V6" i="5"/>
  <c r="T7" i="5"/>
  <c r="L7" i="5"/>
  <c r="U7" i="5"/>
  <c r="M7" i="5"/>
  <c r="R7" i="5"/>
  <c r="J7" i="5"/>
  <c r="K7" i="5"/>
  <c r="S7" i="5"/>
  <c r="A9" i="5"/>
  <c r="M5" i="1" l="1"/>
  <c r="Q9" i="5"/>
  <c r="P9" i="5"/>
  <c r="O9" i="5"/>
  <c r="N9" i="5"/>
  <c r="I9" i="5"/>
  <c r="H9" i="5"/>
  <c r="C9" i="5"/>
  <c r="G9" i="5"/>
  <c r="F9" i="5"/>
  <c r="B9" i="5"/>
  <c r="E9" i="5"/>
  <c r="D9" i="5"/>
  <c r="V7" i="5"/>
  <c r="Z6" i="5"/>
  <c r="W7" i="5"/>
  <c r="AA6" i="5"/>
  <c r="X7" i="5"/>
  <c r="AB6" i="5"/>
  <c r="Y7" i="5"/>
  <c r="AC6" i="5"/>
  <c r="L8" i="5"/>
  <c r="U8" i="5"/>
  <c r="S8" i="5"/>
  <c r="K8" i="5"/>
  <c r="M8" i="5"/>
  <c r="R8" i="5"/>
  <c r="T8" i="5"/>
  <c r="A10" i="5"/>
  <c r="Q10" i="5" l="1"/>
  <c r="P10" i="5"/>
  <c r="O10" i="5"/>
  <c r="N10" i="5"/>
  <c r="I10" i="5"/>
  <c r="H10" i="5"/>
  <c r="C10" i="5"/>
  <c r="G10" i="5"/>
  <c r="F10" i="5"/>
  <c r="B10" i="5"/>
  <c r="E10" i="5"/>
  <c r="D10" i="5"/>
  <c r="Y8" i="5"/>
  <c r="AC7" i="5"/>
  <c r="X8" i="5"/>
  <c r="AB7" i="5"/>
  <c r="W8" i="5"/>
  <c r="AA7" i="5"/>
  <c r="V8" i="5"/>
  <c r="Z7" i="5"/>
  <c r="T9" i="5"/>
  <c r="L9" i="5"/>
  <c r="U9" i="5"/>
  <c r="M9" i="5"/>
  <c r="R9" i="5"/>
  <c r="J9" i="5"/>
  <c r="S9" i="5"/>
  <c r="K9" i="5"/>
  <c r="A11" i="5"/>
  <c r="Q11" i="5" l="1"/>
  <c r="P11" i="5"/>
  <c r="O11" i="5"/>
  <c r="N11" i="5"/>
  <c r="I11" i="5"/>
  <c r="H11" i="5"/>
  <c r="C11" i="5"/>
  <c r="G11" i="5"/>
  <c r="F11" i="5"/>
  <c r="B11" i="5"/>
  <c r="E11" i="5"/>
  <c r="D11" i="5"/>
  <c r="V9" i="5"/>
  <c r="Z8" i="5"/>
  <c r="W9" i="5"/>
  <c r="AA8" i="5"/>
  <c r="X9" i="5"/>
  <c r="AB8" i="5"/>
  <c r="Y9" i="5"/>
  <c r="AC8" i="5"/>
  <c r="T10" i="5"/>
  <c r="L10" i="5"/>
  <c r="U10" i="5"/>
  <c r="M10" i="5"/>
  <c r="R10" i="5"/>
  <c r="J10" i="5"/>
  <c r="S10" i="5"/>
  <c r="K10" i="5"/>
  <c r="A12" i="5"/>
  <c r="Q12" i="5" l="1"/>
  <c r="P12" i="5"/>
  <c r="O12" i="5"/>
  <c r="N12" i="5"/>
  <c r="I12" i="5"/>
  <c r="H12" i="5"/>
  <c r="C12" i="5"/>
  <c r="G12" i="5"/>
  <c r="F12" i="5"/>
  <c r="B12" i="5"/>
  <c r="E12" i="5"/>
  <c r="D12" i="5"/>
  <c r="Y10" i="5"/>
  <c r="AC9" i="5"/>
  <c r="X10" i="5"/>
  <c r="AB9" i="5"/>
  <c r="W10" i="5"/>
  <c r="AA9" i="5"/>
  <c r="V10" i="5"/>
  <c r="Z9" i="5"/>
  <c r="T11" i="5"/>
  <c r="L11" i="5"/>
  <c r="U11" i="5"/>
  <c r="M11" i="5"/>
  <c r="R11" i="5"/>
  <c r="J11" i="5"/>
  <c r="K11" i="5"/>
  <c r="S11" i="5"/>
  <c r="A13" i="5"/>
  <c r="Q13" i="5" l="1"/>
  <c r="P13" i="5"/>
  <c r="O13" i="5"/>
  <c r="N13" i="5"/>
  <c r="I13" i="5"/>
  <c r="H13" i="5"/>
  <c r="C13" i="5"/>
  <c r="G13" i="5"/>
  <c r="F13" i="5"/>
  <c r="B13" i="5"/>
  <c r="E13" i="5"/>
  <c r="D13" i="5"/>
  <c r="V11" i="5"/>
  <c r="Z10" i="5"/>
  <c r="W11" i="5"/>
  <c r="AA10" i="5"/>
  <c r="X11" i="5"/>
  <c r="AB10" i="5"/>
  <c r="Y11" i="5"/>
  <c r="AC10" i="5"/>
  <c r="L12" i="5"/>
  <c r="U12" i="5"/>
  <c r="R12" i="5"/>
  <c r="J12" i="5"/>
  <c r="S12" i="5"/>
  <c r="K12" i="5"/>
  <c r="M12" i="5"/>
  <c r="T12" i="5"/>
  <c r="A14" i="5"/>
  <c r="Q14" i="5" l="1"/>
  <c r="P14" i="5"/>
  <c r="O14" i="5"/>
  <c r="N14" i="5"/>
  <c r="I14" i="5"/>
  <c r="H14" i="5"/>
  <c r="C14" i="5"/>
  <c r="G14" i="5"/>
  <c r="F14" i="5"/>
  <c r="B14" i="5"/>
  <c r="E14" i="5"/>
  <c r="D14" i="5"/>
  <c r="Y12" i="5"/>
  <c r="AC11" i="5"/>
  <c r="X12" i="5"/>
  <c r="AB11" i="5"/>
  <c r="W12" i="5"/>
  <c r="AA11" i="5"/>
  <c r="V12" i="5"/>
  <c r="Z11" i="5"/>
  <c r="T13" i="5"/>
  <c r="L13" i="5"/>
  <c r="M13" i="5"/>
  <c r="R13" i="5"/>
  <c r="J13" i="5"/>
  <c r="K13" i="5"/>
  <c r="S13" i="5"/>
  <c r="U13" i="5"/>
  <c r="A15" i="5"/>
  <c r="Q15" i="5" l="1"/>
  <c r="P15" i="5"/>
  <c r="O15" i="5"/>
  <c r="N15" i="5"/>
  <c r="I15" i="5"/>
  <c r="H15" i="5"/>
  <c r="C15" i="5"/>
  <c r="G15" i="5"/>
  <c r="F15" i="5"/>
  <c r="B15" i="5"/>
  <c r="E15" i="5"/>
  <c r="D15" i="5"/>
  <c r="V13" i="5"/>
  <c r="Z12" i="5"/>
  <c r="W13" i="5"/>
  <c r="AA12" i="5"/>
  <c r="X13" i="5"/>
  <c r="AB12" i="5"/>
  <c r="Y13" i="5"/>
  <c r="AC12" i="5"/>
  <c r="T14" i="5"/>
  <c r="L14" i="5"/>
  <c r="U14" i="5"/>
  <c r="M14" i="5"/>
  <c r="R14" i="5"/>
  <c r="J14" i="5"/>
  <c r="S14" i="5"/>
  <c r="K14" i="5"/>
  <c r="A16" i="5"/>
  <c r="Q16" i="5" l="1"/>
  <c r="P16" i="5"/>
  <c r="O16" i="5"/>
  <c r="N16" i="5"/>
  <c r="I16" i="5"/>
  <c r="H16" i="5"/>
  <c r="C16" i="5"/>
  <c r="G16" i="5"/>
  <c r="F16" i="5"/>
  <c r="B16" i="5"/>
  <c r="E16" i="5"/>
  <c r="D16" i="5"/>
  <c r="Y14" i="5"/>
  <c r="AC13" i="5"/>
  <c r="X14" i="5"/>
  <c r="AB13" i="5"/>
  <c r="W14" i="5"/>
  <c r="AA13" i="5"/>
  <c r="V14" i="5"/>
  <c r="Z13" i="5"/>
  <c r="T15" i="5"/>
  <c r="L15" i="5"/>
  <c r="U15" i="5"/>
  <c r="M15" i="5"/>
  <c r="R15" i="5"/>
  <c r="J15" i="5"/>
  <c r="S15" i="5"/>
  <c r="K15" i="5"/>
  <c r="A17" i="5"/>
  <c r="J16" i="5" l="1"/>
  <c r="Q17" i="5"/>
  <c r="P17" i="5"/>
  <c r="O17" i="5"/>
  <c r="N17" i="5"/>
  <c r="I17" i="5"/>
  <c r="H17" i="5"/>
  <c r="C17" i="5"/>
  <c r="G17" i="5"/>
  <c r="F17" i="5"/>
  <c r="B17" i="5"/>
  <c r="E17" i="5"/>
  <c r="D17" i="5"/>
  <c r="V15" i="5"/>
  <c r="Z14" i="5"/>
  <c r="W15" i="5"/>
  <c r="AA14" i="5"/>
  <c r="X15" i="5"/>
  <c r="AB14" i="5"/>
  <c r="Y15" i="5"/>
  <c r="AC14" i="5"/>
  <c r="T16" i="5"/>
  <c r="L16" i="5"/>
  <c r="U16" i="5"/>
  <c r="S16" i="5"/>
  <c r="K16" i="5"/>
  <c r="M16" i="5"/>
  <c r="R16" i="5"/>
  <c r="A18" i="5"/>
  <c r="Q18" i="5" l="1"/>
  <c r="P18" i="5"/>
  <c r="O18" i="5"/>
  <c r="N18" i="5"/>
  <c r="I18" i="5"/>
  <c r="H18" i="5"/>
  <c r="C18" i="5"/>
  <c r="G18" i="5"/>
  <c r="F18" i="5"/>
  <c r="B18" i="5"/>
  <c r="E18" i="5"/>
  <c r="D18" i="5"/>
  <c r="Y16" i="5"/>
  <c r="AC15" i="5"/>
  <c r="X16" i="5"/>
  <c r="AB15" i="5"/>
  <c r="W16" i="5"/>
  <c r="AA15" i="5"/>
  <c r="V16" i="5"/>
  <c r="Z15" i="5"/>
  <c r="T17" i="5"/>
  <c r="L17" i="5"/>
  <c r="U17" i="5"/>
  <c r="M17" i="5"/>
  <c r="R17" i="5"/>
  <c r="J17" i="5"/>
  <c r="K17" i="5"/>
  <c r="S17" i="5"/>
  <c r="A19" i="5"/>
  <c r="Q19" i="5" l="1"/>
  <c r="P19" i="5"/>
  <c r="O19" i="5"/>
  <c r="N19" i="5"/>
  <c r="I19" i="5"/>
  <c r="H19" i="5"/>
  <c r="C19" i="5"/>
  <c r="G19" i="5"/>
  <c r="F19" i="5"/>
  <c r="B19" i="5"/>
  <c r="E19" i="5"/>
  <c r="D19" i="5"/>
  <c r="V17" i="5"/>
  <c r="Z16" i="5"/>
  <c r="W17" i="5"/>
  <c r="AA16" i="5"/>
  <c r="X17" i="5"/>
  <c r="AB16" i="5"/>
  <c r="Y17" i="5"/>
  <c r="AC16" i="5"/>
  <c r="T18" i="5"/>
  <c r="L18" i="5"/>
  <c r="U18" i="5"/>
  <c r="M18" i="5"/>
  <c r="R18" i="5"/>
  <c r="J18" i="5"/>
  <c r="S18" i="5"/>
  <c r="K18" i="5"/>
  <c r="A20" i="5"/>
  <c r="Q20" i="5" l="1"/>
  <c r="P20" i="5"/>
  <c r="O20" i="5"/>
  <c r="N20" i="5"/>
  <c r="I20" i="5"/>
  <c r="H20" i="5"/>
  <c r="C20" i="5"/>
  <c r="G20" i="5"/>
  <c r="F20" i="5"/>
  <c r="B20" i="5"/>
  <c r="E20" i="5"/>
  <c r="D20" i="5"/>
  <c r="Y18" i="5"/>
  <c r="AC17" i="5"/>
  <c r="X18" i="5"/>
  <c r="AB17" i="5"/>
  <c r="W18" i="5"/>
  <c r="AA17" i="5"/>
  <c r="V18" i="5"/>
  <c r="Z17" i="5"/>
  <c r="T19" i="5"/>
  <c r="L19" i="5"/>
  <c r="U19" i="5"/>
  <c r="M19" i="5"/>
  <c r="R19" i="5"/>
  <c r="J19" i="5"/>
  <c r="S19" i="5"/>
  <c r="K19" i="5"/>
  <c r="A21" i="5"/>
  <c r="J20" i="5" l="1"/>
  <c r="Q21" i="5"/>
  <c r="P21" i="5"/>
  <c r="O21" i="5"/>
  <c r="N21" i="5"/>
  <c r="I21" i="5"/>
  <c r="H21" i="5"/>
  <c r="C21" i="5"/>
  <c r="G21" i="5"/>
  <c r="F21" i="5"/>
  <c r="B21" i="5"/>
  <c r="E21" i="5"/>
  <c r="D21" i="5"/>
  <c r="V19" i="5"/>
  <c r="Z18" i="5"/>
  <c r="W19" i="5"/>
  <c r="AA18" i="5"/>
  <c r="X19" i="5"/>
  <c r="AB18" i="5"/>
  <c r="Y19" i="5"/>
  <c r="AC18" i="5"/>
  <c r="T20" i="5"/>
  <c r="L20" i="5"/>
  <c r="U20" i="5"/>
  <c r="S20" i="5"/>
  <c r="K20" i="5"/>
  <c r="M20" i="5"/>
  <c r="R20" i="5"/>
  <c r="A22" i="5"/>
  <c r="Q22" i="5" l="1"/>
  <c r="P22" i="5"/>
  <c r="O22" i="5"/>
  <c r="N22" i="5"/>
  <c r="I22" i="5"/>
  <c r="H22" i="5"/>
  <c r="C22" i="5"/>
  <c r="G22" i="5"/>
  <c r="F22" i="5"/>
  <c r="B22" i="5"/>
  <c r="E22" i="5"/>
  <c r="D22" i="5"/>
  <c r="Y20" i="5"/>
  <c r="AC19" i="5"/>
  <c r="X20" i="5"/>
  <c r="AB19" i="5"/>
  <c r="W20" i="5"/>
  <c r="AA19" i="5"/>
  <c r="V20" i="5"/>
  <c r="Z19" i="5"/>
  <c r="T21" i="5"/>
  <c r="L21" i="5"/>
  <c r="U21" i="5"/>
  <c r="M21" i="5"/>
  <c r="R21" i="5"/>
  <c r="J21" i="5"/>
  <c r="K21" i="5"/>
  <c r="S21" i="5"/>
  <c r="A23" i="5"/>
  <c r="Q23" i="5" l="1"/>
  <c r="P23" i="5"/>
  <c r="O23" i="5"/>
  <c r="N23" i="5"/>
  <c r="I23" i="5"/>
  <c r="H23" i="5"/>
  <c r="C23" i="5"/>
  <c r="G23" i="5"/>
  <c r="F23" i="5"/>
  <c r="B23" i="5"/>
  <c r="E23" i="5"/>
  <c r="D23" i="5"/>
  <c r="V21" i="5"/>
  <c r="Z20" i="5"/>
  <c r="W21" i="5"/>
  <c r="AA20" i="5"/>
  <c r="X21" i="5"/>
  <c r="AB20" i="5"/>
  <c r="Y21" i="5"/>
  <c r="AC20" i="5"/>
  <c r="T22" i="5"/>
  <c r="L22" i="5"/>
  <c r="U22" i="5"/>
  <c r="M22" i="5"/>
  <c r="R22" i="5"/>
  <c r="J22" i="5"/>
  <c r="S22" i="5"/>
  <c r="K22" i="5"/>
  <c r="A24" i="5"/>
  <c r="Q24" i="5" l="1"/>
  <c r="P24" i="5"/>
  <c r="O24" i="5"/>
  <c r="N24" i="5"/>
  <c r="I24" i="5"/>
  <c r="H24" i="5"/>
  <c r="C24" i="5"/>
  <c r="G24" i="5"/>
  <c r="F24" i="5"/>
  <c r="B24" i="5"/>
  <c r="E24" i="5"/>
  <c r="D24" i="5"/>
  <c r="Y22" i="5"/>
  <c r="AC21" i="5"/>
  <c r="X22" i="5"/>
  <c r="AB21" i="5"/>
  <c r="W22" i="5"/>
  <c r="AA21" i="5"/>
  <c r="V22" i="5"/>
  <c r="Z21" i="5"/>
  <c r="T23" i="5"/>
  <c r="L23" i="5"/>
  <c r="U23" i="5"/>
  <c r="M23" i="5"/>
  <c r="R23" i="5"/>
  <c r="J23" i="5"/>
  <c r="S23" i="5"/>
  <c r="K23" i="5"/>
  <c r="A25" i="5"/>
  <c r="J24" i="5" l="1"/>
  <c r="K24" i="5"/>
  <c r="Q25" i="5"/>
  <c r="P25" i="5"/>
  <c r="O25" i="5"/>
  <c r="N25" i="5"/>
  <c r="I25" i="5"/>
  <c r="H25" i="5"/>
  <c r="C25" i="5"/>
  <c r="G25" i="5"/>
  <c r="F25" i="5"/>
  <c r="B25" i="5"/>
  <c r="E25" i="5"/>
  <c r="D25" i="5"/>
  <c r="V23" i="5"/>
  <c r="Z22" i="5"/>
  <c r="W23" i="5"/>
  <c r="AA22" i="5"/>
  <c r="X23" i="5"/>
  <c r="AB22" i="5"/>
  <c r="Y23" i="5"/>
  <c r="AC22" i="5"/>
  <c r="T24" i="5"/>
  <c r="L24" i="5"/>
  <c r="U24" i="5"/>
  <c r="S24" i="5"/>
  <c r="M24" i="5"/>
  <c r="R24" i="5"/>
  <c r="A26" i="5"/>
  <c r="Q26" i="5" l="1"/>
  <c r="P26" i="5"/>
  <c r="O26" i="5"/>
  <c r="N26" i="5"/>
  <c r="I26" i="5"/>
  <c r="H26" i="5"/>
  <c r="C26" i="5"/>
  <c r="G26" i="5"/>
  <c r="F26" i="5"/>
  <c r="B26" i="5"/>
  <c r="E26" i="5"/>
  <c r="D26" i="5"/>
  <c r="Y24" i="5"/>
  <c r="AC23" i="5"/>
  <c r="X24" i="5"/>
  <c r="AB23" i="5"/>
  <c r="W24" i="5"/>
  <c r="AA23" i="5"/>
  <c r="V24" i="5"/>
  <c r="Z23" i="5"/>
  <c r="T25" i="5"/>
  <c r="L25" i="5"/>
  <c r="U25" i="5"/>
  <c r="M25" i="5"/>
  <c r="R25" i="5"/>
  <c r="J25" i="5"/>
  <c r="S25" i="5"/>
  <c r="K25" i="5"/>
  <c r="A27" i="5"/>
  <c r="Q27" i="5" l="1"/>
  <c r="P27" i="5"/>
  <c r="O27" i="5"/>
  <c r="N27" i="5"/>
  <c r="I27" i="5"/>
  <c r="H27" i="5"/>
  <c r="C27" i="5"/>
  <c r="G27" i="5"/>
  <c r="F27" i="5"/>
  <c r="B27" i="5"/>
  <c r="E27" i="5"/>
  <c r="D27" i="5"/>
  <c r="V25" i="5"/>
  <c r="Z24" i="5"/>
  <c r="W25" i="5"/>
  <c r="AA24" i="5"/>
  <c r="X25" i="5"/>
  <c r="AB24" i="5"/>
  <c r="Y25" i="5"/>
  <c r="AC24" i="5"/>
  <c r="T26" i="5"/>
  <c r="L26" i="5"/>
  <c r="U26" i="5"/>
  <c r="M26" i="5"/>
  <c r="R26" i="5"/>
  <c r="J26" i="5"/>
  <c r="S26" i="5"/>
  <c r="K26" i="5"/>
  <c r="A28" i="5"/>
  <c r="Q28" i="5" l="1"/>
  <c r="P28" i="5"/>
  <c r="O28" i="5"/>
  <c r="N28" i="5"/>
  <c r="I28" i="5"/>
  <c r="H28" i="5"/>
  <c r="C28" i="5"/>
  <c r="G28" i="5"/>
  <c r="F28" i="5"/>
  <c r="B28" i="5"/>
  <c r="E28" i="5"/>
  <c r="D28" i="5"/>
  <c r="Y26" i="5"/>
  <c r="AC25" i="5"/>
  <c r="X26" i="5"/>
  <c r="AB25" i="5"/>
  <c r="W26" i="5"/>
  <c r="AA25" i="5"/>
  <c r="V26" i="5"/>
  <c r="Z25" i="5"/>
  <c r="T27" i="5"/>
  <c r="L27" i="5"/>
  <c r="U27" i="5"/>
  <c r="M27" i="5"/>
  <c r="R27" i="5"/>
  <c r="J27" i="5"/>
  <c r="S27" i="5"/>
  <c r="K27" i="5"/>
  <c r="A29" i="5"/>
  <c r="Q29" i="5" l="1"/>
  <c r="P29" i="5"/>
  <c r="O29" i="5"/>
  <c r="N29" i="5"/>
  <c r="I29" i="5"/>
  <c r="H29" i="5"/>
  <c r="C29" i="5"/>
  <c r="G29" i="5"/>
  <c r="F29" i="5"/>
  <c r="B29" i="5"/>
  <c r="E29" i="5"/>
  <c r="D29" i="5"/>
  <c r="V27" i="5"/>
  <c r="Z26" i="5"/>
  <c r="W27" i="5"/>
  <c r="AA26" i="5"/>
  <c r="X27" i="5"/>
  <c r="AB26" i="5"/>
  <c r="Y27" i="5"/>
  <c r="AC26" i="5"/>
  <c r="T28" i="5"/>
  <c r="L28" i="5"/>
  <c r="U28" i="5"/>
  <c r="R28" i="5"/>
  <c r="J28" i="5"/>
  <c r="S28" i="5"/>
  <c r="K28" i="5"/>
  <c r="M28" i="5"/>
  <c r="A30" i="5"/>
  <c r="Q30" i="5" l="1"/>
  <c r="P30" i="5"/>
  <c r="O30" i="5"/>
  <c r="N30" i="5"/>
  <c r="I30" i="5"/>
  <c r="H30" i="5"/>
  <c r="C30" i="5"/>
  <c r="G30" i="5"/>
  <c r="F30" i="5"/>
  <c r="B30" i="5"/>
  <c r="E30" i="5"/>
  <c r="D30" i="5"/>
  <c r="Y28" i="5"/>
  <c r="AC27" i="5"/>
  <c r="X28" i="5"/>
  <c r="AB27" i="5"/>
  <c r="W28" i="5"/>
  <c r="AA27" i="5"/>
  <c r="V28" i="5"/>
  <c r="Z27" i="5"/>
  <c r="T29" i="5"/>
  <c r="L29" i="5"/>
  <c r="U29" i="5"/>
  <c r="M29" i="5"/>
  <c r="R29" i="5"/>
  <c r="J29" i="5"/>
  <c r="K29" i="5"/>
  <c r="S29" i="5"/>
  <c r="A31" i="5"/>
  <c r="Q31" i="5" l="1"/>
  <c r="P31" i="5"/>
  <c r="O31" i="5"/>
  <c r="N31" i="5"/>
  <c r="I31" i="5"/>
  <c r="H31" i="5"/>
  <c r="C31" i="5"/>
  <c r="G31" i="5"/>
  <c r="F31" i="5"/>
  <c r="B31" i="5"/>
  <c r="E31" i="5"/>
  <c r="D31" i="5"/>
  <c r="V29" i="5"/>
  <c r="Z28" i="5"/>
  <c r="W29" i="5"/>
  <c r="AA28" i="5"/>
  <c r="X29" i="5"/>
  <c r="AB28" i="5"/>
  <c r="Y29" i="5"/>
  <c r="AC28" i="5"/>
  <c r="T30" i="5"/>
  <c r="L30" i="5"/>
  <c r="U30" i="5"/>
  <c r="M30" i="5"/>
  <c r="R30" i="5"/>
  <c r="J30" i="5"/>
  <c r="S30" i="5"/>
  <c r="K30" i="5"/>
  <c r="A32" i="5"/>
  <c r="Q32" i="5" l="1"/>
  <c r="P32" i="5"/>
  <c r="O32" i="5"/>
  <c r="N32" i="5"/>
  <c r="I32" i="5"/>
  <c r="H32" i="5"/>
  <c r="C32" i="5"/>
  <c r="G32" i="5"/>
  <c r="F32" i="5"/>
  <c r="B32" i="5"/>
  <c r="E32" i="5"/>
  <c r="D32" i="5"/>
  <c r="Y30" i="5"/>
  <c r="AC29" i="5"/>
  <c r="X30" i="5"/>
  <c r="AB29" i="5"/>
  <c r="W30" i="5"/>
  <c r="AA29" i="5"/>
  <c r="V30" i="5"/>
  <c r="Z29" i="5"/>
  <c r="T31" i="5"/>
  <c r="L31" i="5"/>
  <c r="U31" i="5"/>
  <c r="M31" i="5"/>
  <c r="R31" i="5"/>
  <c r="J31" i="5"/>
  <c r="S31" i="5"/>
  <c r="K31" i="5"/>
  <c r="A33" i="5"/>
  <c r="J32" i="5" l="1"/>
  <c r="Q33" i="5"/>
  <c r="P33" i="5"/>
  <c r="O33" i="5"/>
  <c r="N33" i="5"/>
  <c r="I33" i="5"/>
  <c r="H33" i="5"/>
  <c r="C33" i="5"/>
  <c r="G33" i="5"/>
  <c r="F33" i="5"/>
  <c r="B33" i="5"/>
  <c r="E33" i="5"/>
  <c r="D33" i="5"/>
  <c r="V31" i="5"/>
  <c r="Z30" i="5"/>
  <c r="W31" i="5"/>
  <c r="AA30" i="5"/>
  <c r="X31" i="5"/>
  <c r="AB30" i="5"/>
  <c r="Y31" i="5"/>
  <c r="AC30" i="5"/>
  <c r="T32" i="5"/>
  <c r="L32" i="5"/>
  <c r="U32" i="5"/>
  <c r="M32" i="5"/>
  <c r="S32" i="5"/>
  <c r="K32" i="5"/>
  <c r="R32" i="5"/>
  <c r="A34" i="5"/>
  <c r="Q34" i="5" l="1"/>
  <c r="P34" i="5"/>
  <c r="O34" i="5"/>
  <c r="N34" i="5"/>
  <c r="I34" i="5"/>
  <c r="H34" i="5"/>
  <c r="C34" i="5"/>
  <c r="G34" i="5"/>
  <c r="F34" i="5"/>
  <c r="B34" i="5"/>
  <c r="E34" i="5"/>
  <c r="D34" i="5"/>
  <c r="Y32" i="5"/>
  <c r="AC31" i="5"/>
  <c r="X32" i="5"/>
  <c r="AB31" i="5"/>
  <c r="W32" i="5"/>
  <c r="AA31" i="5"/>
  <c r="V32" i="5"/>
  <c r="Z31" i="5"/>
  <c r="T33" i="5"/>
  <c r="L33" i="5"/>
  <c r="U33" i="5"/>
  <c r="M33" i="5"/>
  <c r="R33" i="5"/>
  <c r="J33" i="5"/>
  <c r="S33" i="5"/>
  <c r="K33" i="5"/>
  <c r="A35" i="5"/>
  <c r="Q35" i="5" l="1"/>
  <c r="P35" i="5"/>
  <c r="O35" i="5"/>
  <c r="N35" i="5"/>
  <c r="I35" i="5"/>
  <c r="H35" i="5"/>
  <c r="C35" i="5"/>
  <c r="G35" i="5"/>
  <c r="F35" i="5"/>
  <c r="B35" i="5"/>
  <c r="E35" i="5"/>
  <c r="D35" i="5"/>
  <c r="V33" i="5"/>
  <c r="Z32" i="5"/>
  <c r="W33" i="5"/>
  <c r="AA32" i="5"/>
  <c r="X33" i="5"/>
  <c r="AB32" i="5"/>
  <c r="Y33" i="5"/>
  <c r="AC32" i="5"/>
  <c r="T34" i="5"/>
  <c r="L34" i="5"/>
  <c r="U34" i="5"/>
  <c r="M34" i="5"/>
  <c r="R34" i="5"/>
  <c r="J34" i="5"/>
  <c r="S34" i="5"/>
  <c r="K34" i="5"/>
  <c r="A36" i="5"/>
  <c r="Q36" i="5" l="1"/>
  <c r="P36" i="5"/>
  <c r="O36" i="5"/>
  <c r="N36" i="5"/>
  <c r="I36" i="5"/>
  <c r="H36" i="5"/>
  <c r="C36" i="5"/>
  <c r="G36" i="5"/>
  <c r="F36" i="5"/>
  <c r="B36" i="5"/>
  <c r="J36" i="5" s="1"/>
  <c r="E36" i="5"/>
  <c r="D36" i="5"/>
  <c r="Y34" i="5"/>
  <c r="AC33" i="5"/>
  <c r="X34" i="5"/>
  <c r="AB33" i="5"/>
  <c r="W34" i="5"/>
  <c r="AA33" i="5"/>
  <c r="V34" i="5"/>
  <c r="Z33" i="5"/>
  <c r="T35" i="5"/>
  <c r="L35" i="5"/>
  <c r="U35" i="5"/>
  <c r="M35" i="5"/>
  <c r="R35" i="5"/>
  <c r="J35" i="5"/>
  <c r="S35" i="5"/>
  <c r="K35" i="5"/>
  <c r="A37" i="5"/>
  <c r="Q37" i="5" l="1"/>
  <c r="P37" i="5"/>
  <c r="O37" i="5"/>
  <c r="N37" i="5"/>
  <c r="I37" i="5"/>
  <c r="H37" i="5"/>
  <c r="C37" i="5"/>
  <c r="G37" i="5"/>
  <c r="F37" i="5"/>
  <c r="B37" i="5"/>
  <c r="E37" i="5"/>
  <c r="D37" i="5"/>
  <c r="V35" i="5"/>
  <c r="Z34" i="5"/>
  <c r="W35" i="5"/>
  <c r="AA34" i="5"/>
  <c r="X35" i="5"/>
  <c r="AB34" i="5"/>
  <c r="Y35" i="5"/>
  <c r="AC34" i="5"/>
  <c r="T36" i="5"/>
  <c r="L36" i="5"/>
  <c r="U36" i="5"/>
  <c r="S36" i="5"/>
  <c r="K36" i="5"/>
  <c r="M36" i="5"/>
  <c r="R36" i="5"/>
  <c r="A38" i="5"/>
  <c r="Q38" i="5" l="1"/>
  <c r="P38" i="5"/>
  <c r="O38" i="5"/>
  <c r="N38" i="5"/>
  <c r="I38" i="5"/>
  <c r="H38" i="5"/>
  <c r="C38" i="5"/>
  <c r="G38" i="5"/>
  <c r="F38" i="5"/>
  <c r="B38" i="5"/>
  <c r="E38" i="5"/>
  <c r="D38" i="5"/>
  <c r="Y36" i="5"/>
  <c r="AC35" i="5"/>
  <c r="X36" i="5"/>
  <c r="AB35" i="5"/>
  <c r="W36" i="5"/>
  <c r="AA35" i="5"/>
  <c r="V36" i="5"/>
  <c r="Z35" i="5"/>
  <c r="T37" i="5"/>
  <c r="L37" i="5"/>
  <c r="U37" i="5"/>
  <c r="M37" i="5"/>
  <c r="R37" i="5"/>
  <c r="J37" i="5"/>
  <c r="K37" i="5"/>
  <c r="S37" i="5"/>
  <c r="A39" i="5"/>
  <c r="Q39" i="5" l="1"/>
  <c r="P39" i="5"/>
  <c r="O39" i="5"/>
  <c r="N39" i="5"/>
  <c r="I39" i="5"/>
  <c r="H39" i="5"/>
  <c r="C39" i="5"/>
  <c r="G39" i="5"/>
  <c r="F39" i="5"/>
  <c r="B39" i="5"/>
  <c r="E39" i="5"/>
  <c r="D39" i="5"/>
  <c r="V37" i="5"/>
  <c r="Z36" i="5"/>
  <c r="W37" i="5"/>
  <c r="AA36" i="5"/>
  <c r="X37" i="5"/>
  <c r="AB36" i="5"/>
  <c r="Y37" i="5"/>
  <c r="AC36" i="5"/>
  <c r="T38" i="5"/>
  <c r="L38" i="5"/>
  <c r="U38" i="5"/>
  <c r="M38" i="5"/>
  <c r="R38" i="5"/>
  <c r="J38" i="5"/>
  <c r="S38" i="5"/>
  <c r="K38" i="5"/>
  <c r="A40" i="5"/>
  <c r="Q40" i="5" l="1"/>
  <c r="P40" i="5"/>
  <c r="O40" i="5"/>
  <c r="N40" i="5"/>
  <c r="I40" i="5"/>
  <c r="H40" i="5"/>
  <c r="C40" i="5"/>
  <c r="G40" i="5"/>
  <c r="F40" i="5"/>
  <c r="B40" i="5"/>
  <c r="E40" i="5"/>
  <c r="D40" i="5"/>
  <c r="Y38" i="5"/>
  <c r="AC37" i="5"/>
  <c r="X38" i="5"/>
  <c r="AB37" i="5"/>
  <c r="W38" i="5"/>
  <c r="AA37" i="5"/>
  <c r="V38" i="5"/>
  <c r="Z37" i="5"/>
  <c r="T39" i="5"/>
  <c r="L39" i="5"/>
  <c r="U39" i="5"/>
  <c r="M39" i="5"/>
  <c r="R39" i="5"/>
  <c r="J39" i="5"/>
  <c r="S39" i="5"/>
  <c r="K39" i="5"/>
  <c r="A41" i="5"/>
  <c r="J40" i="5" l="1"/>
  <c r="K40" i="5"/>
  <c r="Q41" i="5"/>
  <c r="P41" i="5"/>
  <c r="O41" i="5"/>
  <c r="N41" i="5"/>
  <c r="I41" i="5"/>
  <c r="H41" i="5"/>
  <c r="C41" i="5"/>
  <c r="G41" i="5"/>
  <c r="F41" i="5"/>
  <c r="B41" i="5"/>
  <c r="E41" i="5"/>
  <c r="D41" i="5"/>
  <c r="V39" i="5"/>
  <c r="Z38" i="5"/>
  <c r="W39" i="5"/>
  <c r="AA38" i="5"/>
  <c r="X39" i="5"/>
  <c r="AB38" i="5"/>
  <c r="Y39" i="5"/>
  <c r="AC38" i="5"/>
  <c r="T40" i="5"/>
  <c r="L40" i="5"/>
  <c r="U40" i="5"/>
  <c r="M40" i="5"/>
  <c r="S40" i="5"/>
  <c r="R40" i="5"/>
  <c r="A42" i="5"/>
  <c r="Q42" i="5" l="1"/>
  <c r="P42" i="5"/>
  <c r="O42" i="5"/>
  <c r="N42" i="5"/>
  <c r="I42" i="5"/>
  <c r="H42" i="5"/>
  <c r="C42" i="5"/>
  <c r="G42" i="5"/>
  <c r="F42" i="5"/>
  <c r="B42" i="5"/>
  <c r="E42" i="5"/>
  <c r="D42" i="5"/>
  <c r="Y40" i="5"/>
  <c r="AC39" i="5"/>
  <c r="X40" i="5"/>
  <c r="AB39" i="5"/>
  <c r="W40" i="5"/>
  <c r="AA39" i="5"/>
  <c r="V40" i="5"/>
  <c r="Z39" i="5"/>
  <c r="T41" i="5"/>
  <c r="L41" i="5"/>
  <c r="U41" i="5"/>
  <c r="M41" i="5"/>
  <c r="R41" i="5"/>
  <c r="J41" i="5"/>
  <c r="S41" i="5"/>
  <c r="K41" i="5"/>
  <c r="A43" i="5"/>
  <c r="Q43" i="5" l="1"/>
  <c r="P43" i="5"/>
  <c r="O43" i="5"/>
  <c r="N43" i="5"/>
  <c r="I43" i="5"/>
  <c r="H43" i="5"/>
  <c r="C43" i="5"/>
  <c r="G43" i="5"/>
  <c r="F43" i="5"/>
  <c r="B43" i="5"/>
  <c r="E43" i="5"/>
  <c r="D43" i="5"/>
  <c r="V41" i="5"/>
  <c r="Z40" i="5"/>
  <c r="W41" i="5"/>
  <c r="AA40" i="5"/>
  <c r="X41" i="5"/>
  <c r="AB40" i="5"/>
  <c r="Y41" i="5"/>
  <c r="AC40" i="5"/>
  <c r="T42" i="5"/>
  <c r="L42" i="5"/>
  <c r="U42" i="5"/>
  <c r="M42" i="5"/>
  <c r="R42" i="5"/>
  <c r="J42" i="5"/>
  <c r="S42" i="5"/>
  <c r="K42" i="5"/>
  <c r="A44" i="5"/>
  <c r="Q44" i="5" l="1"/>
  <c r="P44" i="5"/>
  <c r="O44" i="5"/>
  <c r="N44" i="5"/>
  <c r="I44" i="5"/>
  <c r="H44" i="5"/>
  <c r="C44" i="5"/>
  <c r="G44" i="5"/>
  <c r="F44" i="5"/>
  <c r="B44" i="5"/>
  <c r="E44" i="5"/>
  <c r="D44" i="5"/>
  <c r="Y42" i="5"/>
  <c r="AC41" i="5"/>
  <c r="X42" i="5"/>
  <c r="AB41" i="5"/>
  <c r="W42" i="5"/>
  <c r="AA41" i="5"/>
  <c r="V42" i="5"/>
  <c r="Z41" i="5"/>
  <c r="T43" i="5"/>
  <c r="L43" i="5"/>
  <c r="U43" i="5"/>
  <c r="M43" i="5"/>
  <c r="R43" i="5"/>
  <c r="J43" i="5"/>
  <c r="S43" i="5"/>
  <c r="K43" i="5"/>
  <c r="A45" i="5"/>
  <c r="Q45" i="5" l="1"/>
  <c r="P45" i="5"/>
  <c r="O45" i="5"/>
  <c r="N45" i="5"/>
  <c r="I45" i="5"/>
  <c r="H45" i="5"/>
  <c r="C45" i="5"/>
  <c r="G45" i="5"/>
  <c r="F45" i="5"/>
  <c r="B45" i="5"/>
  <c r="E45" i="5"/>
  <c r="D45" i="5"/>
  <c r="V43" i="5"/>
  <c r="Z42" i="5"/>
  <c r="W43" i="5"/>
  <c r="AA42" i="5"/>
  <c r="X43" i="5"/>
  <c r="AB42" i="5"/>
  <c r="Y43" i="5"/>
  <c r="AC42" i="5"/>
  <c r="T44" i="5"/>
  <c r="L44" i="5"/>
  <c r="U44" i="5"/>
  <c r="R44" i="5"/>
  <c r="J44" i="5"/>
  <c r="S44" i="5"/>
  <c r="K44" i="5"/>
  <c r="M44" i="5"/>
  <c r="A46" i="5"/>
  <c r="Q46" i="5" l="1"/>
  <c r="P46" i="5"/>
  <c r="O46" i="5"/>
  <c r="N46" i="5"/>
  <c r="I46" i="5"/>
  <c r="H46" i="5"/>
  <c r="C46" i="5"/>
  <c r="G46" i="5"/>
  <c r="F46" i="5"/>
  <c r="B46" i="5"/>
  <c r="E46" i="5"/>
  <c r="D46" i="5"/>
  <c r="Y44" i="5"/>
  <c r="AC43" i="5"/>
  <c r="X44" i="5"/>
  <c r="AB43" i="5"/>
  <c r="W44" i="5"/>
  <c r="AA43" i="5"/>
  <c r="V44" i="5"/>
  <c r="Z43" i="5"/>
  <c r="T45" i="5"/>
  <c r="L45" i="5"/>
  <c r="U45" i="5"/>
  <c r="M45" i="5"/>
  <c r="R45" i="5"/>
  <c r="J45" i="5"/>
  <c r="K45" i="5"/>
  <c r="S45" i="5"/>
  <c r="A47" i="5"/>
  <c r="Q47" i="5" l="1"/>
  <c r="P47" i="5"/>
  <c r="O47" i="5"/>
  <c r="N47" i="5"/>
  <c r="I47" i="5"/>
  <c r="H47" i="5"/>
  <c r="C47" i="5"/>
  <c r="G47" i="5"/>
  <c r="F47" i="5"/>
  <c r="B47" i="5"/>
  <c r="E47" i="5"/>
  <c r="D47" i="5"/>
  <c r="V45" i="5"/>
  <c r="Z44" i="5"/>
  <c r="W45" i="5"/>
  <c r="AA44" i="5"/>
  <c r="X45" i="5"/>
  <c r="AB44" i="5"/>
  <c r="Y45" i="5"/>
  <c r="AC44" i="5"/>
  <c r="T46" i="5"/>
  <c r="L46" i="5"/>
  <c r="U46" i="5"/>
  <c r="M46" i="5"/>
  <c r="R46" i="5"/>
  <c r="J46" i="5"/>
  <c r="S46" i="5"/>
  <c r="K46" i="5"/>
  <c r="A48" i="5"/>
  <c r="Q48" i="5" l="1"/>
  <c r="P48" i="5"/>
  <c r="O48" i="5"/>
  <c r="N48" i="5"/>
  <c r="I48" i="5"/>
  <c r="H48" i="5"/>
  <c r="C48" i="5"/>
  <c r="G48" i="5"/>
  <c r="F48" i="5"/>
  <c r="B48" i="5"/>
  <c r="J48" i="5" s="1"/>
  <c r="E48" i="5"/>
  <c r="D48" i="5"/>
  <c r="Y46" i="5"/>
  <c r="AC45" i="5"/>
  <c r="X46" i="5"/>
  <c r="AB45" i="5"/>
  <c r="W46" i="5"/>
  <c r="AA45" i="5"/>
  <c r="V46" i="5"/>
  <c r="Z45" i="5"/>
  <c r="T47" i="5"/>
  <c r="L47" i="5"/>
  <c r="U47" i="5"/>
  <c r="M47" i="5"/>
  <c r="R47" i="5"/>
  <c r="J47" i="5"/>
  <c r="S47" i="5"/>
  <c r="K47" i="5"/>
  <c r="A49" i="5"/>
  <c r="Q49" i="5" l="1"/>
  <c r="P49" i="5"/>
  <c r="O49" i="5"/>
  <c r="N49" i="5"/>
  <c r="I49" i="5"/>
  <c r="H49" i="5"/>
  <c r="C49" i="5"/>
  <c r="G49" i="5"/>
  <c r="F49" i="5"/>
  <c r="B49" i="5"/>
  <c r="E49" i="5"/>
  <c r="D49" i="5"/>
  <c r="V47" i="5"/>
  <c r="Z46" i="5"/>
  <c r="W47" i="5"/>
  <c r="AA46" i="5"/>
  <c r="X47" i="5"/>
  <c r="AB46" i="5"/>
  <c r="Y47" i="5"/>
  <c r="AC46" i="5"/>
  <c r="T48" i="5"/>
  <c r="L48" i="5"/>
  <c r="U48" i="5"/>
  <c r="S48" i="5"/>
  <c r="K48" i="5"/>
  <c r="M48" i="5"/>
  <c r="R48" i="5"/>
  <c r="A50" i="5"/>
  <c r="Q50" i="5" l="1"/>
  <c r="P50" i="5"/>
  <c r="O50" i="5"/>
  <c r="N50" i="5"/>
  <c r="I50" i="5"/>
  <c r="H50" i="5"/>
  <c r="C50" i="5"/>
  <c r="G50" i="5"/>
  <c r="F50" i="5"/>
  <c r="B50" i="5"/>
  <c r="E50" i="5"/>
  <c r="D50" i="5"/>
  <c r="Y48" i="5"/>
  <c r="AC47" i="5"/>
  <c r="X48" i="5"/>
  <c r="AB47" i="5"/>
  <c r="W48" i="5"/>
  <c r="AA47" i="5"/>
  <c r="V48" i="5"/>
  <c r="Z47" i="5"/>
  <c r="T49" i="5"/>
  <c r="L49" i="5"/>
  <c r="U49" i="5"/>
  <c r="M49" i="5"/>
  <c r="R49" i="5"/>
  <c r="J49" i="5"/>
  <c r="S49" i="5"/>
  <c r="K49" i="5"/>
  <c r="A51" i="5"/>
  <c r="Q51" i="5" l="1"/>
  <c r="P51" i="5"/>
  <c r="O51" i="5"/>
  <c r="N51" i="5"/>
  <c r="I51" i="5"/>
  <c r="H51" i="5"/>
  <c r="C51" i="5"/>
  <c r="G51" i="5"/>
  <c r="F51" i="5"/>
  <c r="B51" i="5"/>
  <c r="E51" i="5"/>
  <c r="D51" i="5"/>
  <c r="V49" i="5"/>
  <c r="Z48" i="5"/>
  <c r="W49" i="5"/>
  <c r="AA48" i="5"/>
  <c r="X49" i="5"/>
  <c r="AB48" i="5"/>
  <c r="Y49" i="5"/>
  <c r="AC48" i="5"/>
  <c r="T50" i="5"/>
  <c r="L50" i="5"/>
  <c r="U50" i="5"/>
  <c r="M50" i="5"/>
  <c r="R50" i="5"/>
  <c r="J50" i="5"/>
  <c r="S50" i="5"/>
  <c r="K50" i="5"/>
  <c r="A52" i="5"/>
  <c r="Q52" i="5" l="1"/>
  <c r="P52" i="5"/>
  <c r="O52" i="5"/>
  <c r="N52" i="5"/>
  <c r="I52" i="5"/>
  <c r="H52" i="5"/>
  <c r="C52" i="5"/>
  <c r="G52" i="5"/>
  <c r="F52" i="5"/>
  <c r="B52" i="5"/>
  <c r="E52" i="5"/>
  <c r="D52" i="5"/>
  <c r="Y50" i="5"/>
  <c r="AC49" i="5"/>
  <c r="X50" i="5"/>
  <c r="AB49" i="5"/>
  <c r="W50" i="5"/>
  <c r="AA49" i="5"/>
  <c r="V50" i="5"/>
  <c r="Z49" i="5"/>
  <c r="T51" i="5"/>
  <c r="L51" i="5"/>
  <c r="U51" i="5"/>
  <c r="M51" i="5"/>
  <c r="R51" i="5"/>
  <c r="J51" i="5"/>
  <c r="S51" i="5"/>
  <c r="K51" i="5"/>
  <c r="A53" i="5"/>
  <c r="J52" i="5" l="1"/>
  <c r="Q53" i="5"/>
  <c r="P53" i="5"/>
  <c r="O53" i="5"/>
  <c r="N53" i="5"/>
  <c r="I53" i="5"/>
  <c r="H53" i="5"/>
  <c r="C53" i="5"/>
  <c r="G53" i="5"/>
  <c r="F53" i="5"/>
  <c r="B53" i="5"/>
  <c r="E53" i="5"/>
  <c r="D53" i="5"/>
  <c r="V51" i="5"/>
  <c r="Z50" i="5"/>
  <c r="W51" i="5"/>
  <c r="AA50" i="5"/>
  <c r="X51" i="5"/>
  <c r="AB50" i="5"/>
  <c r="Y51" i="5"/>
  <c r="AC50" i="5"/>
  <c r="T52" i="5"/>
  <c r="L52" i="5"/>
  <c r="U52" i="5"/>
  <c r="M52" i="5"/>
  <c r="S52" i="5"/>
  <c r="K52" i="5"/>
  <c r="R52" i="5"/>
  <c r="A54" i="5"/>
  <c r="Q54" i="5" l="1"/>
  <c r="P54" i="5"/>
  <c r="O54" i="5"/>
  <c r="N54" i="5"/>
  <c r="I54" i="5"/>
  <c r="H54" i="5"/>
  <c r="C54" i="5"/>
  <c r="G54" i="5"/>
  <c r="F54" i="5"/>
  <c r="B54" i="5"/>
  <c r="E54" i="5"/>
  <c r="D54" i="5"/>
  <c r="Y52" i="5"/>
  <c r="AC51" i="5"/>
  <c r="X52" i="5"/>
  <c r="AB51" i="5"/>
  <c r="W52" i="5"/>
  <c r="AA51" i="5"/>
  <c r="V52" i="5"/>
  <c r="Z51" i="5"/>
  <c r="T53" i="5"/>
  <c r="L53" i="5"/>
  <c r="U53" i="5"/>
  <c r="M53" i="5"/>
  <c r="R53" i="5"/>
  <c r="J53" i="5"/>
  <c r="K53" i="5"/>
  <c r="S53" i="5"/>
  <c r="A55" i="5"/>
  <c r="Q55" i="5" l="1"/>
  <c r="P55" i="5"/>
  <c r="O55" i="5"/>
  <c r="N55" i="5"/>
  <c r="I55" i="5"/>
  <c r="H55" i="5"/>
  <c r="C55" i="5"/>
  <c r="G55" i="5"/>
  <c r="F55" i="5"/>
  <c r="B55" i="5"/>
  <c r="E55" i="5"/>
  <c r="D55" i="5"/>
  <c r="V53" i="5"/>
  <c r="Z52" i="5"/>
  <c r="W53" i="5"/>
  <c r="AA52" i="5"/>
  <c r="X53" i="5"/>
  <c r="AB52" i="5"/>
  <c r="Y53" i="5"/>
  <c r="AC52" i="5"/>
  <c r="T54" i="5"/>
  <c r="L54" i="5"/>
  <c r="U54" i="5"/>
  <c r="M54" i="5"/>
  <c r="R54" i="5"/>
  <c r="J54" i="5"/>
  <c r="S54" i="5"/>
  <c r="K54" i="5"/>
  <c r="A56" i="5"/>
  <c r="Q56" i="5" l="1"/>
  <c r="P56" i="5"/>
  <c r="O56" i="5"/>
  <c r="N56" i="5"/>
  <c r="I56" i="5"/>
  <c r="H56" i="5"/>
  <c r="C56" i="5"/>
  <c r="G56" i="5"/>
  <c r="F56" i="5"/>
  <c r="B56" i="5"/>
  <c r="E56" i="5"/>
  <c r="D56" i="5"/>
  <c r="Y54" i="5"/>
  <c r="AC53" i="5"/>
  <c r="X54" i="5"/>
  <c r="AB53" i="5"/>
  <c r="W54" i="5"/>
  <c r="AA53" i="5"/>
  <c r="V54" i="5"/>
  <c r="Z53" i="5"/>
  <c r="T55" i="5"/>
  <c r="L55" i="5"/>
  <c r="U55" i="5"/>
  <c r="M55" i="5"/>
  <c r="R55" i="5"/>
  <c r="J55" i="5"/>
  <c r="S55" i="5"/>
  <c r="K55" i="5"/>
  <c r="A57" i="5"/>
  <c r="J56" i="5" l="1"/>
  <c r="K56" i="5"/>
  <c r="Q57" i="5"/>
  <c r="P57" i="5"/>
  <c r="O57" i="5"/>
  <c r="N57" i="5"/>
  <c r="I57" i="5"/>
  <c r="H57" i="5"/>
  <c r="C57" i="5"/>
  <c r="G57" i="5"/>
  <c r="F57" i="5"/>
  <c r="B57" i="5"/>
  <c r="E57" i="5"/>
  <c r="D57" i="5"/>
  <c r="V55" i="5"/>
  <c r="Z54" i="5"/>
  <c r="W55" i="5"/>
  <c r="AA54" i="5"/>
  <c r="X55" i="5"/>
  <c r="AB54" i="5"/>
  <c r="Y55" i="5"/>
  <c r="AC54" i="5"/>
  <c r="T56" i="5"/>
  <c r="L56" i="5"/>
  <c r="U56" i="5"/>
  <c r="S56" i="5"/>
  <c r="M56" i="5"/>
  <c r="R56" i="5"/>
  <c r="A58" i="5"/>
  <c r="Q58" i="5" l="1"/>
  <c r="P58" i="5"/>
  <c r="O58" i="5"/>
  <c r="N58" i="5"/>
  <c r="I58" i="5"/>
  <c r="H58" i="5"/>
  <c r="C58" i="5"/>
  <c r="G58" i="5"/>
  <c r="F58" i="5"/>
  <c r="B58" i="5"/>
  <c r="E58" i="5"/>
  <c r="D58" i="5"/>
  <c r="Y56" i="5"/>
  <c r="AC55" i="5"/>
  <c r="X56" i="5"/>
  <c r="AB55" i="5"/>
  <c r="W56" i="5"/>
  <c r="AA55" i="5"/>
  <c r="V56" i="5"/>
  <c r="Z55" i="5"/>
  <c r="T57" i="5"/>
  <c r="L57" i="5"/>
  <c r="U57" i="5"/>
  <c r="M57" i="5"/>
  <c r="R57" i="5"/>
  <c r="J57" i="5"/>
  <c r="S57" i="5"/>
  <c r="K57" i="5"/>
  <c r="A59" i="5"/>
  <c r="Q59" i="5" l="1"/>
  <c r="P59" i="5"/>
  <c r="O59" i="5"/>
  <c r="N59" i="5"/>
  <c r="I59" i="5"/>
  <c r="H59" i="5"/>
  <c r="C59" i="5"/>
  <c r="G59" i="5"/>
  <c r="F59" i="5"/>
  <c r="B59" i="5"/>
  <c r="E59" i="5"/>
  <c r="D59" i="5"/>
  <c r="V57" i="5"/>
  <c r="Z56" i="5"/>
  <c r="W57" i="5"/>
  <c r="AA56" i="5"/>
  <c r="X57" i="5"/>
  <c r="AB56" i="5"/>
  <c r="Y57" i="5"/>
  <c r="AC56" i="5"/>
  <c r="T58" i="5"/>
  <c r="L58" i="5"/>
  <c r="U58" i="5"/>
  <c r="M58" i="5"/>
  <c r="R58" i="5"/>
  <c r="J58" i="5"/>
  <c r="S58" i="5"/>
  <c r="K58" i="5"/>
  <c r="A60" i="5"/>
  <c r="Q60" i="5" l="1"/>
  <c r="P60" i="5"/>
  <c r="O60" i="5"/>
  <c r="N60" i="5"/>
  <c r="I60" i="5"/>
  <c r="H60" i="5"/>
  <c r="C60" i="5"/>
  <c r="G60" i="5"/>
  <c r="F60" i="5"/>
  <c r="B60" i="5"/>
  <c r="E60" i="5"/>
  <c r="D60" i="5"/>
  <c r="Y58" i="5"/>
  <c r="AC57" i="5"/>
  <c r="X58" i="5"/>
  <c r="AB57" i="5"/>
  <c r="W58" i="5"/>
  <c r="AA57" i="5"/>
  <c r="V58" i="5"/>
  <c r="Z57" i="5"/>
  <c r="T59" i="5"/>
  <c r="L59" i="5"/>
  <c r="U59" i="5"/>
  <c r="M59" i="5"/>
  <c r="R59" i="5"/>
  <c r="J59" i="5"/>
  <c r="S59" i="5"/>
  <c r="K59" i="5"/>
  <c r="A61" i="5"/>
  <c r="Q61" i="5" l="1"/>
  <c r="P61" i="5"/>
  <c r="O61" i="5"/>
  <c r="N61" i="5"/>
  <c r="I61" i="5"/>
  <c r="H61" i="5"/>
  <c r="C61" i="5"/>
  <c r="G61" i="5"/>
  <c r="F61" i="5"/>
  <c r="B61" i="5"/>
  <c r="E61" i="5"/>
  <c r="D61" i="5"/>
  <c r="V59" i="5"/>
  <c r="Z58" i="5"/>
  <c r="W59" i="5"/>
  <c r="AA58" i="5"/>
  <c r="X59" i="5"/>
  <c r="AB58" i="5"/>
  <c r="Y59" i="5"/>
  <c r="AC58" i="5"/>
  <c r="T60" i="5"/>
  <c r="L60" i="5"/>
  <c r="U60" i="5"/>
  <c r="M60" i="5"/>
  <c r="R60" i="5"/>
  <c r="J60" i="5"/>
  <c r="S60" i="5"/>
  <c r="K60" i="5"/>
  <c r="A62" i="5"/>
  <c r="Q62" i="5" l="1"/>
  <c r="P62" i="5"/>
  <c r="O62" i="5"/>
  <c r="N62" i="5"/>
  <c r="I62" i="5"/>
  <c r="H62" i="5"/>
  <c r="C62" i="5"/>
  <c r="G62" i="5"/>
  <c r="F62" i="5"/>
  <c r="B62" i="5"/>
  <c r="E62" i="5"/>
  <c r="D62" i="5"/>
  <c r="Y60" i="5"/>
  <c r="AC59" i="5"/>
  <c r="X60" i="5"/>
  <c r="AB59" i="5"/>
  <c r="W60" i="5"/>
  <c r="AA59" i="5"/>
  <c r="V60" i="5"/>
  <c r="Z59" i="5"/>
  <c r="T61" i="5"/>
  <c r="L61" i="5"/>
  <c r="U61" i="5"/>
  <c r="M61" i="5"/>
  <c r="R61" i="5"/>
  <c r="J61" i="5"/>
  <c r="K61" i="5"/>
  <c r="S61" i="5"/>
  <c r="A63" i="5"/>
  <c r="Q63" i="5" l="1"/>
  <c r="P63" i="5"/>
  <c r="O63" i="5"/>
  <c r="N63" i="5"/>
  <c r="I63" i="5"/>
  <c r="H63" i="5"/>
  <c r="C63" i="5"/>
  <c r="G63" i="5"/>
  <c r="F63" i="5"/>
  <c r="B63" i="5"/>
  <c r="E63" i="5"/>
  <c r="D63" i="5"/>
  <c r="V61" i="5"/>
  <c r="Z60" i="5"/>
  <c r="W61" i="5"/>
  <c r="AA60" i="5"/>
  <c r="X61" i="5"/>
  <c r="AB60" i="5"/>
  <c r="Y61" i="5"/>
  <c r="AC60" i="5"/>
  <c r="T62" i="5"/>
  <c r="L62" i="5"/>
  <c r="U62" i="5"/>
  <c r="M62" i="5"/>
  <c r="R62" i="5"/>
  <c r="J62" i="5"/>
  <c r="S62" i="5"/>
  <c r="K62" i="5"/>
  <c r="A64" i="5"/>
  <c r="Q64" i="5" l="1"/>
  <c r="P64" i="5"/>
  <c r="O64" i="5"/>
  <c r="N64" i="5"/>
  <c r="I64" i="5"/>
  <c r="H64" i="5"/>
  <c r="C64" i="5"/>
  <c r="G64" i="5"/>
  <c r="F64" i="5"/>
  <c r="B64" i="5"/>
  <c r="E64" i="5"/>
  <c r="D64" i="5"/>
  <c r="Y62" i="5"/>
  <c r="AC61" i="5"/>
  <c r="X62" i="5"/>
  <c r="AB61" i="5"/>
  <c r="W62" i="5"/>
  <c r="AA61" i="5"/>
  <c r="V62" i="5"/>
  <c r="Z61" i="5"/>
  <c r="T63" i="5"/>
  <c r="L63" i="5"/>
  <c r="U63" i="5"/>
  <c r="M63" i="5"/>
  <c r="R63" i="5"/>
  <c r="J63" i="5"/>
  <c r="S63" i="5"/>
  <c r="K63" i="5"/>
  <c r="A65" i="5"/>
  <c r="J64" i="5" l="1"/>
  <c r="Q65" i="5"/>
  <c r="P65" i="5"/>
  <c r="O65" i="5"/>
  <c r="N65" i="5"/>
  <c r="I65" i="5"/>
  <c r="H65" i="5"/>
  <c r="C65" i="5"/>
  <c r="G65" i="5"/>
  <c r="F65" i="5"/>
  <c r="B65" i="5"/>
  <c r="E65" i="5"/>
  <c r="D65" i="5"/>
  <c r="V63" i="5"/>
  <c r="Z62" i="5"/>
  <c r="W63" i="5"/>
  <c r="AA62" i="5"/>
  <c r="X63" i="5"/>
  <c r="AB62" i="5"/>
  <c r="Y63" i="5"/>
  <c r="AC62" i="5"/>
  <c r="T64" i="5"/>
  <c r="L64" i="5"/>
  <c r="U64" i="5"/>
  <c r="S64" i="5"/>
  <c r="K64" i="5"/>
  <c r="M64" i="5"/>
  <c r="R64" i="5"/>
  <c r="A66" i="5"/>
  <c r="Q66" i="5" l="1"/>
  <c r="P66" i="5"/>
  <c r="O66" i="5"/>
  <c r="N66" i="5"/>
  <c r="I66" i="5"/>
  <c r="H66" i="5"/>
  <c r="C66" i="5"/>
  <c r="G66" i="5"/>
  <c r="F66" i="5"/>
  <c r="B66" i="5"/>
  <c r="E66" i="5"/>
  <c r="D66" i="5"/>
  <c r="Y64" i="5"/>
  <c r="AC63" i="5"/>
  <c r="X64" i="5"/>
  <c r="AB63" i="5"/>
  <c r="W64" i="5"/>
  <c r="AA63" i="5"/>
  <c r="V64" i="5"/>
  <c r="Z63" i="5"/>
  <c r="T65" i="5"/>
  <c r="L65" i="5"/>
  <c r="U65" i="5"/>
  <c r="M65" i="5"/>
  <c r="R65" i="5"/>
  <c r="J65" i="5"/>
  <c r="S65" i="5"/>
  <c r="K65" i="5"/>
  <c r="A67" i="5"/>
  <c r="Q67" i="5" l="1"/>
  <c r="P67" i="5"/>
  <c r="O67" i="5"/>
  <c r="N67" i="5"/>
  <c r="I67" i="5"/>
  <c r="H67" i="5"/>
  <c r="C67" i="5"/>
  <c r="G67" i="5"/>
  <c r="F67" i="5"/>
  <c r="B67" i="5"/>
  <c r="E67" i="5"/>
  <c r="D67" i="5"/>
  <c r="V65" i="5"/>
  <c r="Z64" i="5"/>
  <c r="W65" i="5"/>
  <c r="AA64" i="5"/>
  <c r="X65" i="5"/>
  <c r="AB64" i="5"/>
  <c r="Y65" i="5"/>
  <c r="AC64" i="5"/>
  <c r="T66" i="5"/>
  <c r="L66" i="5"/>
  <c r="U66" i="5"/>
  <c r="M66" i="5"/>
  <c r="R66" i="5"/>
  <c r="J66" i="5"/>
  <c r="S66" i="5"/>
  <c r="K66" i="5"/>
  <c r="A68" i="5"/>
  <c r="J67" i="5" l="1"/>
  <c r="Q68" i="5"/>
  <c r="P68" i="5"/>
  <c r="O68" i="5"/>
  <c r="N68" i="5"/>
  <c r="I68" i="5"/>
  <c r="H68" i="5"/>
  <c r="C68" i="5"/>
  <c r="G68" i="5"/>
  <c r="F68" i="5"/>
  <c r="B68" i="5"/>
  <c r="J68" i="5" s="1"/>
  <c r="E68" i="5"/>
  <c r="D68" i="5"/>
  <c r="Y66" i="5"/>
  <c r="AC65" i="5"/>
  <c r="X66" i="5"/>
  <c r="AB65" i="5"/>
  <c r="W66" i="5"/>
  <c r="AA65" i="5"/>
  <c r="V66" i="5"/>
  <c r="Z65" i="5"/>
  <c r="T67" i="5"/>
  <c r="L67" i="5"/>
  <c r="U67" i="5"/>
  <c r="M67" i="5"/>
  <c r="S67" i="5"/>
  <c r="K67" i="5"/>
  <c r="R67" i="5"/>
  <c r="A69" i="5"/>
  <c r="Q69" i="5" l="1"/>
  <c r="P69" i="5"/>
  <c r="O69" i="5"/>
  <c r="N69" i="5"/>
  <c r="I69" i="5"/>
  <c r="H69" i="5"/>
  <c r="C69" i="5"/>
  <c r="G69" i="5"/>
  <c r="F69" i="5"/>
  <c r="B69" i="5"/>
  <c r="E69" i="5"/>
  <c r="D69" i="5"/>
  <c r="V67" i="5"/>
  <c r="Z66" i="5"/>
  <c r="W67" i="5"/>
  <c r="AA66" i="5"/>
  <c r="X67" i="5"/>
  <c r="AB66" i="5"/>
  <c r="Y67" i="5"/>
  <c r="AC66" i="5"/>
  <c r="T68" i="5"/>
  <c r="L68" i="5"/>
  <c r="U68" i="5"/>
  <c r="S68" i="5"/>
  <c r="K68" i="5"/>
  <c r="M68" i="5"/>
  <c r="R68" i="5"/>
  <c r="A70" i="5"/>
  <c r="Q70" i="5" l="1"/>
  <c r="P70" i="5"/>
  <c r="O70" i="5"/>
  <c r="N70" i="5"/>
  <c r="I70" i="5"/>
  <c r="H70" i="5"/>
  <c r="C70" i="5"/>
  <c r="G70" i="5"/>
  <c r="F70" i="5"/>
  <c r="B70" i="5"/>
  <c r="E70" i="5"/>
  <c r="D70" i="5"/>
  <c r="Y68" i="5"/>
  <c r="AC67" i="5"/>
  <c r="X68" i="5"/>
  <c r="AB67" i="5"/>
  <c r="W68" i="5"/>
  <c r="AA67" i="5"/>
  <c r="V68" i="5"/>
  <c r="Z67" i="5"/>
  <c r="T69" i="5"/>
  <c r="L69" i="5"/>
  <c r="U69" i="5"/>
  <c r="M69" i="5"/>
  <c r="R69" i="5"/>
  <c r="J69" i="5"/>
  <c r="K69" i="5"/>
  <c r="S69" i="5"/>
  <c r="A71" i="5"/>
  <c r="Q71" i="5" l="1"/>
  <c r="P71" i="5"/>
  <c r="O71" i="5"/>
  <c r="N71" i="5"/>
  <c r="I71" i="5"/>
  <c r="H71" i="5"/>
  <c r="C71" i="5"/>
  <c r="G71" i="5"/>
  <c r="F71" i="5"/>
  <c r="B71" i="5"/>
  <c r="E71" i="5"/>
  <c r="D71" i="5"/>
  <c r="V69" i="5"/>
  <c r="Z68" i="5"/>
  <c r="W69" i="5"/>
  <c r="AA68" i="5"/>
  <c r="X69" i="5"/>
  <c r="AB68" i="5"/>
  <c r="Y69" i="5"/>
  <c r="AC68" i="5"/>
  <c r="T70" i="5"/>
  <c r="L70" i="5"/>
  <c r="U70" i="5"/>
  <c r="M70" i="5"/>
  <c r="R70" i="5"/>
  <c r="J70" i="5"/>
  <c r="S70" i="5"/>
  <c r="K70" i="5"/>
  <c r="A72" i="5"/>
  <c r="Q72" i="5" l="1"/>
  <c r="P72" i="5"/>
  <c r="O72" i="5"/>
  <c r="N72" i="5"/>
  <c r="I72" i="5"/>
  <c r="H72" i="5"/>
  <c r="C72" i="5"/>
  <c r="G72" i="5"/>
  <c r="F72" i="5"/>
  <c r="B72" i="5"/>
  <c r="E72" i="5"/>
  <c r="D72" i="5"/>
  <c r="Y70" i="5"/>
  <c r="AC69" i="5"/>
  <c r="X70" i="5"/>
  <c r="AB69" i="5"/>
  <c r="W70" i="5"/>
  <c r="AA69" i="5"/>
  <c r="V70" i="5"/>
  <c r="Z69" i="5"/>
  <c r="T71" i="5"/>
  <c r="L71" i="5"/>
  <c r="U71" i="5"/>
  <c r="M71" i="5"/>
  <c r="R71" i="5"/>
  <c r="J71" i="5"/>
  <c r="S71" i="5"/>
  <c r="K71" i="5"/>
  <c r="A73" i="5"/>
  <c r="J72" i="5" l="1"/>
  <c r="Q73" i="5"/>
  <c r="P73" i="5"/>
  <c r="O73" i="5"/>
  <c r="N73" i="5"/>
  <c r="I73" i="5"/>
  <c r="H73" i="5"/>
  <c r="C73" i="5"/>
  <c r="G73" i="5"/>
  <c r="F73" i="5"/>
  <c r="B73" i="5"/>
  <c r="E73" i="5"/>
  <c r="D73" i="5"/>
  <c r="V71" i="5"/>
  <c r="Z70" i="5"/>
  <c r="W71" i="5"/>
  <c r="AA70" i="5"/>
  <c r="X71" i="5"/>
  <c r="AB70" i="5"/>
  <c r="Y71" i="5"/>
  <c r="AC70" i="5"/>
  <c r="T72" i="5"/>
  <c r="L72" i="5"/>
  <c r="U72" i="5"/>
  <c r="S72" i="5"/>
  <c r="K72" i="5"/>
  <c r="M72" i="5"/>
  <c r="R72" i="5"/>
  <c r="A74" i="5"/>
  <c r="Q74" i="5" l="1"/>
  <c r="P74" i="5"/>
  <c r="O74" i="5"/>
  <c r="N74" i="5"/>
  <c r="I74" i="5"/>
  <c r="H74" i="5"/>
  <c r="C74" i="5"/>
  <c r="G74" i="5"/>
  <c r="F74" i="5"/>
  <c r="B74" i="5"/>
  <c r="E74" i="5"/>
  <c r="D74" i="5"/>
  <c r="Y72" i="5"/>
  <c r="AC71" i="5"/>
  <c r="X72" i="5"/>
  <c r="AB71" i="5"/>
  <c r="W72" i="5"/>
  <c r="AA71" i="5"/>
  <c r="V72" i="5"/>
  <c r="Z71" i="5"/>
  <c r="T73" i="5"/>
  <c r="L73" i="5"/>
  <c r="U73" i="5"/>
  <c r="M73" i="5"/>
  <c r="R73" i="5"/>
  <c r="J73" i="5"/>
  <c r="S73" i="5"/>
  <c r="K73" i="5"/>
  <c r="A75" i="5"/>
  <c r="Q75" i="5" l="1"/>
  <c r="P75" i="5"/>
  <c r="O75" i="5"/>
  <c r="N75" i="5"/>
  <c r="I75" i="5"/>
  <c r="H75" i="5"/>
  <c r="C75" i="5"/>
  <c r="G75" i="5"/>
  <c r="F75" i="5"/>
  <c r="B75" i="5"/>
  <c r="E75" i="5"/>
  <c r="D75" i="5"/>
  <c r="V73" i="5"/>
  <c r="Z72" i="5"/>
  <c r="W73" i="5"/>
  <c r="AA72" i="5"/>
  <c r="X73" i="5"/>
  <c r="AB72" i="5"/>
  <c r="Y73" i="5"/>
  <c r="AC72" i="5"/>
  <c r="T74" i="5"/>
  <c r="L74" i="5"/>
  <c r="U74" i="5"/>
  <c r="M74" i="5"/>
  <c r="R74" i="5"/>
  <c r="J74" i="5"/>
  <c r="S74" i="5"/>
  <c r="K74" i="5"/>
  <c r="A76" i="5"/>
  <c r="Q76" i="5" l="1"/>
  <c r="P76" i="5"/>
  <c r="O76" i="5"/>
  <c r="N76" i="5"/>
  <c r="I76" i="5"/>
  <c r="H76" i="5"/>
  <c r="C76" i="5"/>
  <c r="G76" i="5"/>
  <c r="F76" i="5"/>
  <c r="B76" i="5"/>
  <c r="E76" i="5"/>
  <c r="D76" i="5"/>
  <c r="Y74" i="5"/>
  <c r="AC73" i="5"/>
  <c r="X74" i="5"/>
  <c r="AB73" i="5"/>
  <c r="W74" i="5"/>
  <c r="AA73" i="5"/>
  <c r="V74" i="5"/>
  <c r="Z73" i="5"/>
  <c r="T75" i="5"/>
  <c r="L75" i="5"/>
  <c r="U75" i="5"/>
  <c r="M75" i="5"/>
  <c r="R75" i="5"/>
  <c r="J75" i="5"/>
  <c r="S75" i="5"/>
  <c r="K75" i="5"/>
  <c r="A77" i="5"/>
  <c r="Q77" i="5" l="1"/>
  <c r="P77" i="5"/>
  <c r="O77" i="5"/>
  <c r="N77" i="5"/>
  <c r="I77" i="5"/>
  <c r="H77" i="5"/>
  <c r="C77" i="5"/>
  <c r="G77" i="5"/>
  <c r="F77" i="5"/>
  <c r="B77" i="5"/>
  <c r="E77" i="5"/>
  <c r="D77" i="5"/>
  <c r="V75" i="5"/>
  <c r="Z74" i="5"/>
  <c r="W75" i="5"/>
  <c r="AA74" i="5"/>
  <c r="X75" i="5"/>
  <c r="AB74" i="5"/>
  <c r="Y75" i="5"/>
  <c r="AC74" i="5"/>
  <c r="T76" i="5"/>
  <c r="L76" i="5"/>
  <c r="U76" i="5"/>
  <c r="R76" i="5"/>
  <c r="J76" i="5"/>
  <c r="S76" i="5"/>
  <c r="K76" i="5"/>
  <c r="M76" i="5"/>
  <c r="A78" i="5"/>
  <c r="Q78" i="5" l="1"/>
  <c r="P78" i="5"/>
  <c r="O78" i="5"/>
  <c r="N78" i="5"/>
  <c r="I78" i="5"/>
  <c r="H78" i="5"/>
  <c r="C78" i="5"/>
  <c r="G78" i="5"/>
  <c r="F78" i="5"/>
  <c r="B78" i="5"/>
  <c r="E78" i="5"/>
  <c r="D78" i="5"/>
  <c r="Y76" i="5"/>
  <c r="AC75" i="5"/>
  <c r="X76" i="5"/>
  <c r="AB75" i="5"/>
  <c r="W76" i="5"/>
  <c r="AA75" i="5"/>
  <c r="V76" i="5"/>
  <c r="Z75" i="5"/>
  <c r="T77" i="5"/>
  <c r="L77" i="5"/>
  <c r="U77" i="5"/>
  <c r="M77" i="5"/>
  <c r="R77" i="5"/>
  <c r="J77" i="5"/>
  <c r="S77" i="5"/>
  <c r="K77" i="5"/>
  <c r="A79" i="5"/>
  <c r="Q79" i="5" l="1"/>
  <c r="P79" i="5"/>
  <c r="O79" i="5"/>
  <c r="N79" i="5"/>
  <c r="I79" i="5"/>
  <c r="H79" i="5"/>
  <c r="C79" i="5"/>
  <c r="G79" i="5"/>
  <c r="F79" i="5"/>
  <c r="B79" i="5"/>
  <c r="E79" i="5"/>
  <c r="D79" i="5"/>
  <c r="V77" i="5"/>
  <c r="Z76" i="5"/>
  <c r="W77" i="5"/>
  <c r="AA76" i="5"/>
  <c r="X77" i="5"/>
  <c r="AB76" i="5"/>
  <c r="Y77" i="5"/>
  <c r="AC76" i="5"/>
  <c r="T78" i="5"/>
  <c r="L78" i="5"/>
  <c r="U78" i="5"/>
  <c r="M78" i="5"/>
  <c r="R78" i="5"/>
  <c r="J78" i="5"/>
  <c r="S78" i="5"/>
  <c r="K78" i="5"/>
  <c r="A80" i="5"/>
  <c r="Q80" i="5" l="1"/>
  <c r="P80" i="5"/>
  <c r="O80" i="5"/>
  <c r="N80" i="5"/>
  <c r="I80" i="5"/>
  <c r="H80" i="5"/>
  <c r="C80" i="5"/>
  <c r="G80" i="5"/>
  <c r="F80" i="5"/>
  <c r="B80" i="5"/>
  <c r="E80" i="5"/>
  <c r="D80" i="5"/>
  <c r="Y78" i="5"/>
  <c r="AC77" i="5"/>
  <c r="X78" i="5"/>
  <c r="AB77" i="5"/>
  <c r="W78" i="5"/>
  <c r="AA77" i="5"/>
  <c r="V78" i="5"/>
  <c r="Z77" i="5"/>
  <c r="T79" i="5"/>
  <c r="L79" i="5"/>
  <c r="U79" i="5"/>
  <c r="M79" i="5"/>
  <c r="R79" i="5"/>
  <c r="J79" i="5"/>
  <c r="S79" i="5"/>
  <c r="K79" i="5"/>
  <c r="A81" i="5"/>
  <c r="J80" i="5" l="1"/>
  <c r="Q81" i="5"/>
  <c r="P81" i="5"/>
  <c r="O81" i="5"/>
  <c r="N81" i="5"/>
  <c r="I81" i="5"/>
  <c r="H81" i="5"/>
  <c r="C81" i="5"/>
  <c r="G81" i="5"/>
  <c r="F81" i="5"/>
  <c r="B81" i="5"/>
  <c r="E81" i="5"/>
  <c r="D81" i="5"/>
  <c r="V79" i="5"/>
  <c r="Z78" i="5"/>
  <c r="W79" i="5"/>
  <c r="AA78" i="5"/>
  <c r="X79" i="5"/>
  <c r="AB78" i="5"/>
  <c r="Y79" i="5"/>
  <c r="AC78" i="5"/>
  <c r="T80" i="5"/>
  <c r="L80" i="5"/>
  <c r="U80" i="5"/>
  <c r="S80" i="5"/>
  <c r="K80" i="5"/>
  <c r="M80" i="5"/>
  <c r="R80" i="5"/>
  <c r="A82" i="5"/>
  <c r="Q82" i="5" l="1"/>
  <c r="P82" i="5"/>
  <c r="O82" i="5"/>
  <c r="N82" i="5"/>
  <c r="I82" i="5"/>
  <c r="H82" i="5"/>
  <c r="C82" i="5"/>
  <c r="G82" i="5"/>
  <c r="F82" i="5"/>
  <c r="B82" i="5"/>
  <c r="E82" i="5"/>
  <c r="D82" i="5"/>
  <c r="Y80" i="5"/>
  <c r="AC79" i="5"/>
  <c r="X80" i="5"/>
  <c r="AB79" i="5"/>
  <c r="W80" i="5"/>
  <c r="AA79" i="5"/>
  <c r="V80" i="5"/>
  <c r="Z79" i="5"/>
  <c r="T81" i="5"/>
  <c r="L81" i="5"/>
  <c r="U81" i="5"/>
  <c r="M81" i="5"/>
  <c r="R81" i="5"/>
  <c r="J81" i="5"/>
  <c r="K81" i="5"/>
  <c r="S81" i="5"/>
  <c r="A83" i="5"/>
  <c r="Q83" i="5" l="1"/>
  <c r="P83" i="5"/>
  <c r="O83" i="5"/>
  <c r="N83" i="5"/>
  <c r="I83" i="5"/>
  <c r="H83" i="5"/>
  <c r="C83" i="5"/>
  <c r="G83" i="5"/>
  <c r="F83" i="5"/>
  <c r="B83" i="5"/>
  <c r="E83" i="5"/>
  <c r="D83" i="5"/>
  <c r="V81" i="5"/>
  <c r="Z80" i="5"/>
  <c r="W81" i="5"/>
  <c r="AA80" i="5"/>
  <c r="X81" i="5"/>
  <c r="AB80" i="5"/>
  <c r="Y81" i="5"/>
  <c r="AC80" i="5"/>
  <c r="T82" i="5"/>
  <c r="L82" i="5"/>
  <c r="U82" i="5"/>
  <c r="M82" i="5"/>
  <c r="R82" i="5"/>
  <c r="J82" i="5"/>
  <c r="S82" i="5"/>
  <c r="K82" i="5"/>
  <c r="A84" i="5"/>
  <c r="J83" i="5" l="1"/>
  <c r="Q84" i="5"/>
  <c r="P84" i="5"/>
  <c r="O84" i="5"/>
  <c r="N84" i="5"/>
  <c r="I84" i="5"/>
  <c r="H84" i="5"/>
  <c r="C84" i="5"/>
  <c r="G84" i="5"/>
  <c r="F84" i="5"/>
  <c r="B84" i="5"/>
  <c r="E84" i="5"/>
  <c r="D84" i="5"/>
  <c r="Y82" i="5"/>
  <c r="AC81" i="5"/>
  <c r="X82" i="5"/>
  <c r="AB81" i="5"/>
  <c r="W82" i="5"/>
  <c r="AA81" i="5"/>
  <c r="V82" i="5"/>
  <c r="Z81" i="5"/>
  <c r="T83" i="5"/>
  <c r="L83" i="5"/>
  <c r="U83" i="5"/>
  <c r="M83" i="5"/>
  <c r="S83" i="5"/>
  <c r="K83" i="5"/>
  <c r="R83" i="5"/>
  <c r="A85" i="5"/>
  <c r="J84" i="5" l="1"/>
  <c r="Q85" i="5"/>
  <c r="P85" i="5"/>
  <c r="O85" i="5"/>
  <c r="N85" i="5"/>
  <c r="I85" i="5"/>
  <c r="H85" i="5"/>
  <c r="C85" i="5"/>
  <c r="G85" i="5"/>
  <c r="F85" i="5"/>
  <c r="B85" i="5"/>
  <c r="E85" i="5"/>
  <c r="D85" i="5"/>
  <c r="V83" i="5"/>
  <c r="Z82" i="5"/>
  <c r="W83" i="5"/>
  <c r="AA82" i="5"/>
  <c r="X83" i="5"/>
  <c r="AB82" i="5"/>
  <c r="Y83" i="5"/>
  <c r="AC82" i="5"/>
  <c r="T84" i="5"/>
  <c r="L84" i="5"/>
  <c r="U84" i="5"/>
  <c r="M84" i="5"/>
  <c r="S84" i="5"/>
  <c r="K84" i="5"/>
  <c r="R84" i="5"/>
  <c r="A86" i="5"/>
  <c r="Q86" i="5" l="1"/>
  <c r="P86" i="5"/>
  <c r="O86" i="5"/>
  <c r="N86" i="5"/>
  <c r="I86" i="5"/>
  <c r="H86" i="5"/>
  <c r="C86" i="5"/>
  <c r="G86" i="5"/>
  <c r="F86" i="5"/>
  <c r="B86" i="5"/>
  <c r="E86" i="5"/>
  <c r="D86" i="5"/>
  <c r="Y84" i="5"/>
  <c r="AC83" i="5"/>
  <c r="X84" i="5"/>
  <c r="AB83" i="5"/>
  <c r="W84" i="5"/>
  <c r="AA83" i="5"/>
  <c r="V84" i="5"/>
  <c r="Z83" i="5"/>
  <c r="T85" i="5"/>
  <c r="L85" i="5"/>
  <c r="U85" i="5"/>
  <c r="M85" i="5"/>
  <c r="R85" i="5"/>
  <c r="J85" i="5"/>
  <c r="S85" i="5"/>
  <c r="K85" i="5"/>
  <c r="A87" i="5"/>
  <c r="Q87" i="5" l="1"/>
  <c r="P87" i="5"/>
  <c r="O87" i="5"/>
  <c r="N87" i="5"/>
  <c r="I87" i="5"/>
  <c r="H87" i="5"/>
  <c r="C87" i="5"/>
  <c r="G87" i="5"/>
  <c r="F87" i="5"/>
  <c r="B87" i="5"/>
  <c r="E87" i="5"/>
  <c r="D87" i="5"/>
  <c r="V85" i="5"/>
  <c r="Z84" i="5"/>
  <c r="W85" i="5"/>
  <c r="AA84" i="5"/>
  <c r="X85" i="5"/>
  <c r="AB84" i="5"/>
  <c r="Y85" i="5"/>
  <c r="AC84" i="5"/>
  <c r="T86" i="5"/>
  <c r="L86" i="5"/>
  <c r="U86" i="5"/>
  <c r="M86" i="5"/>
  <c r="R86" i="5"/>
  <c r="J86" i="5"/>
  <c r="S86" i="5"/>
  <c r="K86" i="5"/>
  <c r="A88" i="5"/>
  <c r="J87" i="5" l="1"/>
  <c r="Q88" i="5"/>
  <c r="P88" i="5"/>
  <c r="O88" i="5"/>
  <c r="N88" i="5"/>
  <c r="I88" i="5"/>
  <c r="H88" i="5"/>
  <c r="C88" i="5"/>
  <c r="G88" i="5"/>
  <c r="F88" i="5"/>
  <c r="B88" i="5"/>
  <c r="E88" i="5"/>
  <c r="D88" i="5"/>
  <c r="Y86" i="5"/>
  <c r="AC85" i="5"/>
  <c r="X86" i="5"/>
  <c r="AB85" i="5"/>
  <c r="W86" i="5"/>
  <c r="AA85" i="5"/>
  <c r="V86" i="5"/>
  <c r="Z85" i="5"/>
  <c r="T87" i="5"/>
  <c r="L87" i="5"/>
  <c r="U87" i="5"/>
  <c r="M87" i="5"/>
  <c r="S87" i="5"/>
  <c r="K87" i="5"/>
  <c r="R87" i="5"/>
  <c r="A89" i="5"/>
  <c r="J88" i="5" l="1"/>
  <c r="Q89" i="5"/>
  <c r="P89" i="5"/>
  <c r="O89" i="5"/>
  <c r="N89" i="5"/>
  <c r="I89" i="5"/>
  <c r="H89" i="5"/>
  <c r="C89" i="5"/>
  <c r="G89" i="5"/>
  <c r="F89" i="5"/>
  <c r="B89" i="5"/>
  <c r="E89" i="5"/>
  <c r="D89" i="5"/>
  <c r="V87" i="5"/>
  <c r="Z86" i="5"/>
  <c r="W87" i="5"/>
  <c r="AA86" i="5"/>
  <c r="X87" i="5"/>
  <c r="AB86" i="5"/>
  <c r="Y87" i="5"/>
  <c r="AC86" i="5"/>
  <c r="T88" i="5"/>
  <c r="L88" i="5"/>
  <c r="U88" i="5"/>
  <c r="S88" i="5"/>
  <c r="K88" i="5"/>
  <c r="M88" i="5"/>
  <c r="R88" i="5"/>
  <c r="A90" i="5"/>
  <c r="Q90" i="5" l="1"/>
  <c r="P90" i="5"/>
  <c r="O90" i="5"/>
  <c r="N90" i="5"/>
  <c r="I90" i="5"/>
  <c r="H90" i="5"/>
  <c r="C90" i="5"/>
  <c r="G90" i="5"/>
  <c r="F90" i="5"/>
  <c r="B90" i="5"/>
  <c r="E90" i="5"/>
  <c r="D90" i="5"/>
  <c r="Y88" i="5"/>
  <c r="AC87" i="5"/>
  <c r="X88" i="5"/>
  <c r="AB87" i="5"/>
  <c r="W88" i="5"/>
  <c r="AA87" i="5"/>
  <c r="V88" i="5"/>
  <c r="Z87" i="5"/>
  <c r="T89" i="5"/>
  <c r="L89" i="5"/>
  <c r="U89" i="5"/>
  <c r="M89" i="5"/>
  <c r="R89" i="5"/>
  <c r="J89" i="5"/>
  <c r="K89" i="5"/>
  <c r="S89" i="5"/>
  <c r="A91" i="5"/>
  <c r="Q91" i="5" l="1"/>
  <c r="P91" i="5"/>
  <c r="O91" i="5"/>
  <c r="N91" i="5"/>
  <c r="I91" i="5"/>
  <c r="H91" i="5"/>
  <c r="C91" i="5"/>
  <c r="G91" i="5"/>
  <c r="F91" i="5"/>
  <c r="B91" i="5"/>
  <c r="E91" i="5"/>
  <c r="D91" i="5"/>
  <c r="V89" i="5"/>
  <c r="Z88" i="5"/>
  <c r="W89" i="5"/>
  <c r="AA88" i="5"/>
  <c r="X89" i="5"/>
  <c r="AB88" i="5"/>
  <c r="Y89" i="5"/>
  <c r="AC88" i="5"/>
  <c r="T90" i="5"/>
  <c r="L90" i="5"/>
  <c r="U90" i="5"/>
  <c r="M90" i="5"/>
  <c r="R90" i="5"/>
  <c r="J90" i="5"/>
  <c r="S90" i="5"/>
  <c r="K90" i="5"/>
  <c r="A92" i="5"/>
  <c r="Q92" i="5" l="1"/>
  <c r="P92" i="5"/>
  <c r="O92" i="5"/>
  <c r="N92" i="5"/>
  <c r="I92" i="5"/>
  <c r="H92" i="5"/>
  <c r="C92" i="5"/>
  <c r="G92" i="5"/>
  <c r="F92" i="5"/>
  <c r="B92" i="5"/>
  <c r="E92" i="5"/>
  <c r="D92" i="5"/>
  <c r="Y90" i="5"/>
  <c r="AC89" i="5"/>
  <c r="X90" i="5"/>
  <c r="AB89" i="5"/>
  <c r="W90" i="5"/>
  <c r="AA89" i="5"/>
  <c r="V90" i="5"/>
  <c r="Z89" i="5"/>
  <c r="T91" i="5"/>
  <c r="L91" i="5"/>
  <c r="U91" i="5"/>
  <c r="M91" i="5"/>
  <c r="R91" i="5"/>
  <c r="J91" i="5"/>
  <c r="S91" i="5"/>
  <c r="K91" i="5"/>
  <c r="A93" i="5"/>
  <c r="Q93" i="5" l="1"/>
  <c r="P93" i="5"/>
  <c r="O93" i="5"/>
  <c r="N93" i="5"/>
  <c r="I93" i="5"/>
  <c r="H93" i="5"/>
  <c r="C93" i="5"/>
  <c r="G93" i="5"/>
  <c r="F93" i="5"/>
  <c r="B93" i="5"/>
  <c r="E93" i="5"/>
  <c r="D93" i="5"/>
  <c r="V91" i="5"/>
  <c r="Z90" i="5"/>
  <c r="W91" i="5"/>
  <c r="AA90" i="5"/>
  <c r="X91" i="5"/>
  <c r="AB90" i="5"/>
  <c r="Y91" i="5"/>
  <c r="AC90" i="5"/>
  <c r="T92" i="5"/>
  <c r="L92" i="5"/>
  <c r="U92" i="5"/>
  <c r="M92" i="5"/>
  <c r="R92" i="5"/>
  <c r="J92" i="5"/>
  <c r="S92" i="5"/>
  <c r="K92" i="5"/>
  <c r="A94" i="5"/>
  <c r="Q94" i="5" l="1"/>
  <c r="P94" i="5"/>
  <c r="O94" i="5"/>
  <c r="N94" i="5"/>
  <c r="I94" i="5"/>
  <c r="H94" i="5"/>
  <c r="C94" i="5"/>
  <c r="G94" i="5"/>
  <c r="F94" i="5"/>
  <c r="B94" i="5"/>
  <c r="E94" i="5"/>
  <c r="D94" i="5"/>
  <c r="Y92" i="5"/>
  <c r="AC91" i="5"/>
  <c r="X92" i="5"/>
  <c r="AB91" i="5"/>
  <c r="W92" i="5"/>
  <c r="AA91" i="5"/>
  <c r="V92" i="5"/>
  <c r="Z91" i="5"/>
  <c r="T93" i="5"/>
  <c r="L93" i="5"/>
  <c r="U93" i="5"/>
  <c r="M93" i="5"/>
  <c r="R93" i="5"/>
  <c r="J93" i="5"/>
  <c r="K93" i="5"/>
  <c r="S93" i="5"/>
  <c r="V93" i="5" l="1"/>
  <c r="Z92" i="5"/>
  <c r="W93" i="5"/>
  <c r="AA92" i="5"/>
  <c r="X93" i="5"/>
  <c r="AB92" i="5"/>
  <c r="Y93" i="5"/>
  <c r="AC92" i="5"/>
  <c r="T94" i="5"/>
  <c r="T3" i="5" s="1"/>
  <c r="D6" i="6" s="1"/>
  <c r="L94" i="5"/>
  <c r="L3" i="5" s="1"/>
  <c r="D5" i="6" s="1"/>
  <c r="U94" i="5"/>
  <c r="U3" i="5" s="1"/>
  <c r="E6" i="6" s="1"/>
  <c r="M94" i="5"/>
  <c r="M3" i="5" s="1"/>
  <c r="E5" i="6" s="1"/>
  <c r="R94" i="5"/>
  <c r="R3" i="5" s="1"/>
  <c r="B6" i="6" s="1"/>
  <c r="J94" i="5"/>
  <c r="J3" i="5" s="1"/>
  <c r="B5" i="6" s="1"/>
  <c r="B8" i="6" s="1"/>
  <c r="S94" i="5"/>
  <c r="S3" i="5" s="1"/>
  <c r="C6" i="6" s="1"/>
  <c r="K94" i="5"/>
  <c r="K3" i="5" s="1"/>
  <c r="C5" i="6" s="1"/>
  <c r="B10" i="6" l="1"/>
  <c r="B9" i="6"/>
  <c r="Y94" i="5"/>
  <c r="AC94" i="5" s="1"/>
  <c r="AC93" i="5"/>
  <c r="X94" i="5"/>
  <c r="AB94" i="5" s="1"/>
  <c r="AB93" i="5"/>
  <c r="W94" i="5"/>
  <c r="AA94" i="5" s="1"/>
  <c r="AA93" i="5"/>
  <c r="V94" i="5"/>
  <c r="Z94" i="5" s="1"/>
  <c r="Z93" i="5"/>
  <c r="I3" i="6" l="1"/>
  <c r="O3" i="6" s="1"/>
  <c r="I93" i="6"/>
  <c r="I92" i="6"/>
  <c r="I90" i="6"/>
  <c r="I86" i="6"/>
  <c r="I82" i="6"/>
  <c r="I78" i="6"/>
  <c r="I74" i="6"/>
  <c r="I70" i="6"/>
  <c r="I66" i="6"/>
  <c r="I62" i="6"/>
  <c r="I58" i="6"/>
  <c r="I54" i="6"/>
  <c r="I50" i="6"/>
  <c r="I46" i="6"/>
  <c r="I42" i="6"/>
  <c r="I38" i="6"/>
  <c r="I34" i="6"/>
  <c r="I30" i="6"/>
  <c r="I26" i="6"/>
  <c r="I22" i="6"/>
  <c r="I18" i="6"/>
  <c r="I14" i="6"/>
  <c r="I10" i="6"/>
  <c r="I5" i="6"/>
  <c r="I89" i="6"/>
  <c r="I85" i="6"/>
  <c r="I81" i="6"/>
  <c r="I77" i="6"/>
  <c r="I73" i="6"/>
  <c r="I69" i="6"/>
  <c r="I65" i="6"/>
  <c r="I61" i="6"/>
  <c r="I57" i="6"/>
  <c r="I53" i="6"/>
  <c r="I49" i="6"/>
  <c r="I45" i="6"/>
  <c r="I41" i="6"/>
  <c r="I37" i="6"/>
  <c r="I33" i="6"/>
  <c r="I29" i="6"/>
  <c r="I25" i="6"/>
  <c r="I21" i="6"/>
  <c r="I17" i="6"/>
  <c r="I13" i="6"/>
  <c r="I9" i="6"/>
  <c r="I7" i="6"/>
  <c r="I88" i="6"/>
  <c r="I84" i="6"/>
  <c r="I80" i="6"/>
  <c r="I76" i="6"/>
  <c r="I72" i="6"/>
  <c r="I68" i="6"/>
  <c r="I64" i="6"/>
  <c r="I60" i="6"/>
  <c r="I56" i="6"/>
  <c r="I52" i="6"/>
  <c r="I48" i="6"/>
  <c r="I44" i="6"/>
  <c r="I40" i="6"/>
  <c r="I36" i="6"/>
  <c r="I32" i="6"/>
  <c r="I28" i="6"/>
  <c r="I24" i="6"/>
  <c r="I20" i="6"/>
  <c r="I16" i="6"/>
  <c r="I12" i="6"/>
  <c r="I8" i="6"/>
  <c r="I4" i="6"/>
  <c r="O4" i="6" s="1"/>
  <c r="O5" i="6" s="1"/>
  <c r="I91" i="6"/>
  <c r="I87" i="6"/>
  <c r="I83" i="6"/>
  <c r="I79" i="6"/>
  <c r="I75" i="6"/>
  <c r="I71" i="6"/>
  <c r="I67" i="6"/>
  <c r="I63" i="6"/>
  <c r="I59" i="6"/>
  <c r="I55" i="6"/>
  <c r="I51" i="6"/>
  <c r="I47" i="6"/>
  <c r="I43" i="6"/>
  <c r="I39" i="6"/>
  <c r="I35" i="6"/>
  <c r="I31" i="6"/>
  <c r="I27" i="6"/>
  <c r="I23" i="6"/>
  <c r="I19" i="6"/>
  <c r="I15" i="6"/>
  <c r="I11" i="6"/>
  <c r="I6" i="6"/>
  <c r="Z3" i="5"/>
  <c r="B7" i="6" s="1"/>
  <c r="AA3" i="5"/>
  <c r="C7" i="6" s="1"/>
  <c r="C8" i="6" s="1"/>
  <c r="AB3" i="5"/>
  <c r="D7" i="6" s="1"/>
  <c r="D8" i="6" s="1"/>
  <c r="AC3" i="5"/>
  <c r="E7" i="6" s="1"/>
  <c r="E8" i="6" s="1"/>
  <c r="O6" i="6" l="1"/>
  <c r="O7" i="6" s="1"/>
  <c r="O8" i="6" s="1"/>
  <c r="O9" i="6" s="1"/>
  <c r="O10" i="6" s="1"/>
  <c r="O11" i="6" s="1"/>
  <c r="O12" i="6" s="1"/>
  <c r="O13" i="6" s="1"/>
  <c r="O14" i="6" s="1"/>
  <c r="O15" i="6" s="1"/>
  <c r="O16" i="6" s="1"/>
  <c r="O17" i="6" s="1"/>
  <c r="O18" i="6" s="1"/>
  <c r="O19" i="6" s="1"/>
  <c r="O20" i="6" s="1"/>
  <c r="O21" i="6" s="1"/>
  <c r="O22" i="6" s="1"/>
  <c r="O23" i="6" s="1"/>
  <c r="O24" i="6" s="1"/>
  <c r="O25" i="6" s="1"/>
  <c r="O26" i="6" s="1"/>
  <c r="O27" i="6" s="1"/>
  <c r="O28" i="6" s="1"/>
  <c r="O29" i="6" s="1"/>
  <c r="O30" i="6" s="1"/>
  <c r="O31" i="6" s="1"/>
  <c r="O32" i="6" s="1"/>
  <c r="O33" i="6" s="1"/>
  <c r="O34" i="6" s="1"/>
  <c r="O35" i="6" s="1"/>
  <c r="O36" i="6" s="1"/>
  <c r="O37" i="6" s="1"/>
  <c r="O38" i="6" s="1"/>
  <c r="O39" i="6" s="1"/>
  <c r="O40" i="6" s="1"/>
  <c r="O41" i="6" s="1"/>
  <c r="O42" i="6" s="1"/>
  <c r="O43" i="6" s="1"/>
  <c r="O44" i="6" s="1"/>
  <c r="O45" i="6" s="1"/>
  <c r="O46" i="6" s="1"/>
  <c r="O47" i="6" s="1"/>
  <c r="O48" i="6" s="1"/>
  <c r="O49" i="6" s="1"/>
  <c r="O50" i="6" s="1"/>
  <c r="O51" i="6" s="1"/>
  <c r="O52" i="6" s="1"/>
  <c r="O53" i="6" s="1"/>
  <c r="O54" i="6" s="1"/>
  <c r="O55" i="6" s="1"/>
  <c r="O56" i="6" s="1"/>
  <c r="O57" i="6" s="1"/>
  <c r="O58" i="6" s="1"/>
  <c r="O59" i="6" s="1"/>
  <c r="O60" i="6" s="1"/>
  <c r="O61" i="6" s="1"/>
  <c r="O62" i="6" s="1"/>
  <c r="O63" i="6" s="1"/>
  <c r="O64" i="6" s="1"/>
  <c r="O65" i="6" s="1"/>
  <c r="O66" i="6" s="1"/>
  <c r="O67" i="6" s="1"/>
  <c r="O68" i="6" s="1"/>
  <c r="O69" i="6" s="1"/>
  <c r="O70" i="6" s="1"/>
  <c r="O71" i="6" s="1"/>
  <c r="O72" i="6" s="1"/>
  <c r="O73" i="6" s="1"/>
  <c r="O74" i="6" s="1"/>
  <c r="O75" i="6" s="1"/>
  <c r="O76" i="6" s="1"/>
  <c r="O77" i="6" s="1"/>
  <c r="O78" i="6" s="1"/>
  <c r="O79" i="6" s="1"/>
  <c r="O80" i="6" s="1"/>
  <c r="O81" i="6" s="1"/>
  <c r="O82" i="6" s="1"/>
  <c r="O83" i="6" s="1"/>
  <c r="O84" i="6" s="1"/>
  <c r="O85" i="6" s="1"/>
  <c r="O86" i="6" s="1"/>
  <c r="O87" i="6" s="1"/>
  <c r="O88" i="6" s="1"/>
  <c r="O89" i="6" s="1"/>
  <c r="O90" i="6" s="1"/>
  <c r="O91" i="6" s="1"/>
  <c r="O92" i="6" s="1"/>
  <c r="O93" i="6" s="1"/>
  <c r="D9" i="6"/>
  <c r="D10" i="6"/>
  <c r="E10" i="6"/>
  <c r="E9" i="6"/>
  <c r="L4" i="6" s="1"/>
  <c r="C10" i="6"/>
  <c r="C9" i="6"/>
  <c r="M6" i="1"/>
  <c r="L90" i="6" l="1"/>
  <c r="L86" i="6"/>
  <c r="L82" i="6"/>
  <c r="L78" i="6"/>
  <c r="L74" i="6"/>
  <c r="L70" i="6"/>
  <c r="L66" i="6"/>
  <c r="L62" i="6"/>
  <c r="L58" i="6"/>
  <c r="L54" i="6"/>
  <c r="L50" i="6"/>
  <c r="L46" i="6"/>
  <c r="L42" i="6"/>
  <c r="L38" i="6"/>
  <c r="L34" i="6"/>
  <c r="L30" i="6"/>
  <c r="L26" i="6"/>
  <c r="L22" i="6"/>
  <c r="L18" i="6"/>
  <c r="L14" i="6"/>
  <c r="L10" i="6"/>
  <c r="L5" i="6"/>
  <c r="L93" i="6"/>
  <c r="L89" i="6"/>
  <c r="L85" i="6"/>
  <c r="L81" i="6"/>
  <c r="L77" i="6"/>
  <c r="L73" i="6"/>
  <c r="L69" i="6"/>
  <c r="L65" i="6"/>
  <c r="L61" i="6"/>
  <c r="L57" i="6"/>
  <c r="L53" i="6"/>
  <c r="L49" i="6"/>
  <c r="L45" i="6"/>
  <c r="L41" i="6"/>
  <c r="L37" i="6"/>
  <c r="L33" i="6"/>
  <c r="L29" i="6"/>
  <c r="L25" i="6"/>
  <c r="L21" i="6"/>
  <c r="L17" i="6"/>
  <c r="L13" i="6"/>
  <c r="L9" i="6"/>
  <c r="L7" i="6"/>
  <c r="K3" i="6"/>
  <c r="Q3" i="6" s="1"/>
  <c r="L92" i="6"/>
  <c r="L88" i="6"/>
  <c r="L84" i="6"/>
  <c r="L80" i="6"/>
  <c r="L76" i="6"/>
  <c r="L72" i="6"/>
  <c r="L68" i="6"/>
  <c r="L64" i="6"/>
  <c r="L60" i="6"/>
  <c r="L56" i="6"/>
  <c r="L52" i="6"/>
  <c r="L48" i="6"/>
  <c r="L44" i="6"/>
  <c r="L40" i="6"/>
  <c r="L36" i="6"/>
  <c r="L32" i="6"/>
  <c r="L28" i="6"/>
  <c r="L24" i="6"/>
  <c r="L20" i="6"/>
  <c r="L16" i="6"/>
  <c r="L12" i="6"/>
  <c r="L8" i="6"/>
  <c r="L3" i="6"/>
  <c r="R3" i="6" s="1"/>
  <c r="R4" i="6" s="1"/>
  <c r="L91" i="6"/>
  <c r="L87" i="6"/>
  <c r="L83" i="6"/>
  <c r="L79" i="6"/>
  <c r="L75" i="6"/>
  <c r="L71" i="6"/>
  <c r="L67" i="6"/>
  <c r="L63" i="6"/>
  <c r="L59" i="6"/>
  <c r="L55" i="6"/>
  <c r="L51" i="6"/>
  <c r="L47" i="6"/>
  <c r="L43" i="6"/>
  <c r="L39" i="6"/>
  <c r="L35" i="6"/>
  <c r="L31" i="6"/>
  <c r="L27" i="6"/>
  <c r="L23" i="6"/>
  <c r="L19" i="6"/>
  <c r="L15" i="6"/>
  <c r="L11" i="6"/>
  <c r="L6" i="6"/>
  <c r="J3" i="6"/>
  <c r="P3" i="6" s="1"/>
  <c r="M7" i="1"/>
  <c r="R5" i="6" l="1"/>
  <c r="R6" i="6" s="1"/>
  <c r="R7" i="6" s="1"/>
  <c r="R8" i="6" s="1"/>
  <c r="R9" i="6" s="1"/>
  <c r="R10" i="6" s="1"/>
  <c r="R11" i="6" s="1"/>
  <c r="R12" i="6" s="1"/>
  <c r="R13" i="6" s="1"/>
  <c r="R14" i="6" s="1"/>
  <c r="R15" i="6" s="1"/>
  <c r="R16" i="6" s="1"/>
  <c r="R17" i="6" s="1"/>
  <c r="R18" i="6" s="1"/>
  <c r="R19" i="6" s="1"/>
  <c r="R20" i="6" s="1"/>
  <c r="R21" i="6" s="1"/>
  <c r="R22" i="6" s="1"/>
  <c r="R23" i="6" s="1"/>
  <c r="R24" i="6" s="1"/>
  <c r="R25" i="6" s="1"/>
  <c r="R26" i="6" s="1"/>
  <c r="R27" i="6" s="1"/>
  <c r="R28" i="6" s="1"/>
  <c r="R29" i="6" s="1"/>
  <c r="R30" i="6" s="1"/>
  <c r="R31" i="6" s="1"/>
  <c r="R32" i="6" s="1"/>
  <c r="R33" i="6" s="1"/>
  <c r="R34" i="6" s="1"/>
  <c r="R35" i="6" s="1"/>
  <c r="R36" i="6" s="1"/>
  <c r="R37" i="6" s="1"/>
  <c r="R38" i="6" s="1"/>
  <c r="R39" i="6" s="1"/>
  <c r="R40" i="6" s="1"/>
  <c r="R41" i="6" s="1"/>
  <c r="R42" i="6" s="1"/>
  <c r="R43" i="6" s="1"/>
  <c r="R44" i="6" s="1"/>
  <c r="R45" i="6" s="1"/>
  <c r="R46" i="6" s="1"/>
  <c r="R47" i="6" s="1"/>
  <c r="R48" i="6" s="1"/>
  <c r="R49" i="6" s="1"/>
  <c r="R50" i="6" s="1"/>
  <c r="R51" i="6" s="1"/>
  <c r="R52" i="6" s="1"/>
  <c r="R53" i="6" s="1"/>
  <c r="R54" i="6" s="1"/>
  <c r="R55" i="6" s="1"/>
  <c r="R56" i="6" s="1"/>
  <c r="R57" i="6" s="1"/>
  <c r="R58" i="6" s="1"/>
  <c r="R59" i="6" s="1"/>
  <c r="R60" i="6" s="1"/>
  <c r="R61" i="6" s="1"/>
  <c r="R62" i="6" s="1"/>
  <c r="R63" i="6" s="1"/>
  <c r="R64" i="6" s="1"/>
  <c r="R65" i="6" s="1"/>
  <c r="R66" i="6" s="1"/>
  <c r="R67" i="6" s="1"/>
  <c r="R68" i="6" s="1"/>
  <c r="R69" i="6" s="1"/>
  <c r="R70" i="6" s="1"/>
  <c r="R71" i="6" s="1"/>
  <c r="R72" i="6" s="1"/>
  <c r="R73" i="6" s="1"/>
  <c r="R74" i="6" s="1"/>
  <c r="R75" i="6" s="1"/>
  <c r="R76" i="6" s="1"/>
  <c r="R77" i="6" s="1"/>
  <c r="R78" i="6" s="1"/>
  <c r="R79" i="6" s="1"/>
  <c r="R80" i="6" s="1"/>
  <c r="R81" i="6" s="1"/>
  <c r="R82" i="6" s="1"/>
  <c r="R83" i="6" s="1"/>
  <c r="R84" i="6" s="1"/>
  <c r="R85" i="6" s="1"/>
  <c r="R86" i="6" s="1"/>
  <c r="R87" i="6" s="1"/>
  <c r="R88" i="6" s="1"/>
  <c r="R89" i="6" s="1"/>
  <c r="R90" i="6" s="1"/>
  <c r="R91" i="6" s="1"/>
  <c r="R92" i="6" s="1"/>
  <c r="R93" i="6" s="1"/>
  <c r="K4" i="6"/>
  <c r="K5" i="6" s="1"/>
  <c r="K6" i="6" s="1"/>
  <c r="K7" i="6" s="1"/>
  <c r="K8" i="6" s="1"/>
  <c r="K9" i="6" s="1"/>
  <c r="K10" i="6" s="1"/>
  <c r="K11" i="6" s="1"/>
  <c r="J4" i="6"/>
  <c r="J5" i="6" s="1"/>
  <c r="J6" i="6" s="1"/>
  <c r="J7" i="6" s="1"/>
  <c r="J8" i="6" s="1"/>
  <c r="J9" i="6" s="1"/>
  <c r="M8" i="1"/>
  <c r="Q4" i="6" l="1"/>
  <c r="Q5" i="6" s="1"/>
  <c r="Q6" i="6" s="1"/>
  <c r="Q7" i="6" s="1"/>
  <c r="Q8" i="6" s="1"/>
  <c r="Q9" i="6" s="1"/>
  <c r="Q10" i="6" s="1"/>
  <c r="Q11" i="6" s="1"/>
  <c r="P4" i="6"/>
  <c r="P5" i="6" s="1"/>
  <c r="P6" i="6" s="1"/>
  <c r="P7" i="6" s="1"/>
  <c r="P8" i="6" s="1"/>
  <c r="P9" i="6" s="1"/>
  <c r="K12" i="6"/>
  <c r="J10" i="6"/>
  <c r="M9" i="1"/>
  <c r="Q12" i="6" l="1"/>
  <c r="K13" i="6"/>
  <c r="P10" i="6"/>
  <c r="J11" i="6"/>
  <c r="M10" i="1"/>
  <c r="Q13" i="6" l="1"/>
  <c r="K14" i="6"/>
  <c r="P11" i="6"/>
  <c r="J12" i="6"/>
  <c r="M11" i="1"/>
  <c r="Q14" i="6" l="1"/>
  <c r="K15" i="6"/>
  <c r="K16" i="6" s="1"/>
  <c r="K17" i="6" s="1"/>
  <c r="P12" i="6"/>
  <c r="J13" i="6"/>
  <c r="J14" i="6" s="1"/>
  <c r="M12" i="1"/>
  <c r="K18" i="6" l="1"/>
  <c r="Q15" i="6"/>
  <c r="Q16" i="6" s="1"/>
  <c r="Q17" i="6" s="1"/>
  <c r="J15" i="6"/>
  <c r="J16" i="6" s="1"/>
  <c r="P13" i="6"/>
  <c r="P14" i="6" s="1"/>
  <c r="M13" i="1"/>
  <c r="Q18" i="6" l="1"/>
  <c r="K19" i="6"/>
  <c r="P15" i="6"/>
  <c r="P16" i="6" s="1"/>
  <c r="J17" i="6"/>
  <c r="M14" i="1"/>
  <c r="Q19" i="6" l="1"/>
  <c r="K20" i="6"/>
  <c r="P17" i="6"/>
  <c r="J18" i="6"/>
  <c r="J19" i="6" s="1"/>
  <c r="J20" i="6" s="1"/>
  <c r="M15" i="1"/>
  <c r="Q20" i="6" l="1"/>
  <c r="K21" i="6"/>
  <c r="P18" i="6"/>
  <c r="P19" i="6" s="1"/>
  <c r="P20" i="6" s="1"/>
  <c r="J21" i="6"/>
  <c r="M16" i="1"/>
  <c r="Q21" i="6" l="1"/>
  <c r="K22" i="6"/>
  <c r="P21" i="6"/>
  <c r="J22" i="6"/>
  <c r="M17" i="1"/>
  <c r="Q22" i="6" l="1"/>
  <c r="K23" i="6"/>
  <c r="P22" i="6"/>
  <c r="J23" i="6"/>
  <c r="M18" i="1"/>
  <c r="Q23" i="6" l="1"/>
  <c r="K24" i="6"/>
  <c r="P23" i="6"/>
  <c r="J24" i="6"/>
  <c r="M19" i="1"/>
  <c r="Q24" i="6" l="1"/>
  <c r="K25" i="6"/>
  <c r="P24" i="6"/>
  <c r="J25" i="6"/>
  <c r="M20" i="1"/>
  <c r="Q25" i="6" l="1"/>
  <c r="K26" i="6"/>
  <c r="P25" i="6"/>
  <c r="J26" i="6"/>
  <c r="M21" i="1"/>
  <c r="Q26" i="6" l="1"/>
  <c r="K27" i="6"/>
  <c r="P26" i="6"/>
  <c r="J27" i="6"/>
  <c r="M22" i="1"/>
  <c r="Q27" i="6" l="1"/>
  <c r="K28" i="6"/>
  <c r="P27" i="6"/>
  <c r="J28" i="6"/>
  <c r="M23" i="1"/>
  <c r="Q28" i="6" l="1"/>
  <c r="K29" i="6"/>
  <c r="P28" i="6"/>
  <c r="J29" i="6"/>
  <c r="M24" i="1"/>
  <c r="Q29" i="6" l="1"/>
  <c r="K30" i="6"/>
  <c r="P29" i="6"/>
  <c r="J30" i="6"/>
  <c r="M25" i="1"/>
  <c r="Q30" i="6" l="1"/>
  <c r="K31" i="6"/>
  <c r="P30" i="6"/>
  <c r="J31" i="6"/>
  <c r="M26" i="1"/>
  <c r="Q31" i="6" l="1"/>
  <c r="K32" i="6"/>
  <c r="P31" i="6"/>
  <c r="J32" i="6"/>
  <c r="M27" i="1"/>
  <c r="Q32" i="6" l="1"/>
  <c r="K33" i="6"/>
  <c r="P32" i="6"/>
  <c r="J33" i="6"/>
  <c r="J34" i="6" s="1"/>
  <c r="M28" i="1"/>
  <c r="Q33" i="6" l="1"/>
  <c r="K34" i="6"/>
  <c r="J35" i="6"/>
  <c r="P33" i="6"/>
  <c r="P34" i="6" s="1"/>
  <c r="M29" i="1"/>
  <c r="Q34" i="6" l="1"/>
  <c r="K35" i="6"/>
  <c r="P35" i="6"/>
  <c r="J36" i="6"/>
  <c r="M30" i="1"/>
  <c r="Q35" i="6" l="1"/>
  <c r="K36" i="6"/>
  <c r="P36" i="6"/>
  <c r="J37" i="6"/>
  <c r="M31" i="1"/>
  <c r="Q36" i="6" l="1"/>
  <c r="K37" i="6"/>
  <c r="P37" i="6"/>
  <c r="J38" i="6"/>
  <c r="M32" i="1"/>
  <c r="Q37" i="6" l="1"/>
  <c r="K38" i="6"/>
  <c r="P38" i="6"/>
  <c r="J39" i="6"/>
  <c r="J40" i="6" s="1"/>
  <c r="M33" i="1"/>
  <c r="Q38" i="6" l="1"/>
  <c r="K39" i="6"/>
  <c r="J41" i="6"/>
  <c r="P39" i="6"/>
  <c r="P40" i="6" s="1"/>
  <c r="M34" i="1"/>
  <c r="M35" i="1" s="1"/>
  <c r="Q39" i="6" l="1"/>
  <c r="K40" i="6"/>
  <c r="P41" i="6"/>
  <c r="J42" i="6"/>
  <c r="M36" i="1"/>
  <c r="Q40" i="6" l="1"/>
  <c r="K41" i="6"/>
  <c r="P42" i="6"/>
  <c r="J43" i="6"/>
  <c r="J44" i="6" s="1"/>
  <c r="J45" i="6" s="1"/>
  <c r="J46" i="6" s="1"/>
  <c r="M37" i="1"/>
  <c r="Q41" i="6" l="1"/>
  <c r="K42" i="6"/>
  <c r="J47" i="6"/>
  <c r="P43" i="6"/>
  <c r="P44" i="6" s="1"/>
  <c r="P45" i="6" s="1"/>
  <c r="P46" i="6" s="1"/>
  <c r="M38" i="1"/>
  <c r="Q42" i="6" l="1"/>
  <c r="K43" i="6"/>
  <c r="K44" i="6" s="1"/>
  <c r="K45" i="6" s="1"/>
  <c r="P47" i="6"/>
  <c r="J48" i="6"/>
  <c r="M39" i="1"/>
  <c r="M40" i="1" s="1"/>
  <c r="K46" i="6" l="1"/>
  <c r="Q43" i="6"/>
  <c r="Q44" i="6" s="1"/>
  <c r="Q45" i="6" s="1"/>
  <c r="P48" i="6"/>
  <c r="J49" i="6"/>
  <c r="Q46" i="6" l="1"/>
  <c r="K47" i="6"/>
  <c r="P49" i="6"/>
  <c r="J50" i="6"/>
  <c r="Q47" i="6" l="1"/>
  <c r="K48" i="6"/>
  <c r="P50" i="6"/>
  <c r="J51" i="6"/>
  <c r="Q48" i="6" l="1"/>
  <c r="K49" i="6"/>
  <c r="P51" i="6"/>
  <c r="J52" i="6"/>
  <c r="Q49" i="6" l="1"/>
  <c r="K50" i="6"/>
  <c r="P52" i="6"/>
  <c r="J53" i="6"/>
  <c r="Q50" i="6" l="1"/>
  <c r="K51" i="6"/>
  <c r="P53" i="6"/>
  <c r="J54" i="6"/>
  <c r="Q51" i="6" l="1"/>
  <c r="K52" i="6"/>
  <c r="P54" i="6"/>
  <c r="J55" i="6"/>
  <c r="Q52" i="6" l="1"/>
  <c r="K53" i="6"/>
  <c r="P55" i="6"/>
  <c r="J56" i="6"/>
  <c r="Q53" i="6" l="1"/>
  <c r="K54" i="6"/>
  <c r="P56" i="6"/>
  <c r="J57" i="6"/>
  <c r="Q54" i="6" l="1"/>
  <c r="K55" i="6"/>
  <c r="P57" i="6"/>
  <c r="J58" i="6"/>
  <c r="Q55" i="6" l="1"/>
  <c r="K56" i="6"/>
  <c r="P58" i="6"/>
  <c r="J59" i="6"/>
  <c r="Q56" i="6" l="1"/>
  <c r="K57" i="6"/>
  <c r="P59" i="6"/>
  <c r="J60" i="6"/>
  <c r="Q57" i="6" l="1"/>
  <c r="K58" i="6"/>
  <c r="P60" i="6"/>
  <c r="J61" i="6"/>
  <c r="Q58" i="6" l="1"/>
  <c r="K59" i="6"/>
  <c r="P61" i="6"/>
  <c r="J62" i="6"/>
  <c r="Q59" i="6" l="1"/>
  <c r="K60" i="6"/>
  <c r="P62" i="6"/>
  <c r="J63" i="6"/>
  <c r="Q60" i="6" l="1"/>
  <c r="K61" i="6"/>
  <c r="P63" i="6"/>
  <c r="J64" i="6"/>
  <c r="Q61" i="6" l="1"/>
  <c r="K62" i="6"/>
  <c r="P64" i="6"/>
  <c r="J65" i="6"/>
  <c r="Q62" i="6" l="1"/>
  <c r="K63" i="6"/>
  <c r="P65" i="6"/>
  <c r="J66" i="6"/>
  <c r="Q63" i="6" l="1"/>
  <c r="K64" i="6"/>
  <c r="K65" i="6" s="1"/>
  <c r="P66" i="6"/>
  <c r="J67" i="6"/>
  <c r="K66" i="6" l="1"/>
  <c r="Q64" i="6"/>
  <c r="Q65" i="6" s="1"/>
  <c r="P67" i="6"/>
  <c r="J68" i="6"/>
  <c r="Q66" i="6" l="1"/>
  <c r="K67" i="6"/>
  <c r="P68" i="6"/>
  <c r="J69" i="6"/>
  <c r="Q67" i="6" l="1"/>
  <c r="K68" i="6"/>
  <c r="P69" i="6"/>
  <c r="J70" i="6"/>
  <c r="Q68" i="6" l="1"/>
  <c r="K69" i="6"/>
  <c r="P70" i="6"/>
  <c r="J71" i="6"/>
  <c r="Q69" i="6" l="1"/>
  <c r="K70" i="6"/>
  <c r="P71" i="6"/>
  <c r="J72" i="6"/>
  <c r="Q70" i="6" l="1"/>
  <c r="K71" i="6"/>
  <c r="P72" i="6"/>
  <c r="J73" i="6"/>
  <c r="Q71" i="6" l="1"/>
  <c r="K72" i="6"/>
  <c r="P73" i="6"/>
  <c r="J74" i="6"/>
  <c r="Q72" i="6" l="1"/>
  <c r="K73" i="6"/>
  <c r="P74" i="6"/>
  <c r="J75" i="6"/>
  <c r="Q73" i="6" l="1"/>
  <c r="K74" i="6"/>
  <c r="P75" i="6"/>
  <c r="J76" i="6"/>
  <c r="Q74" i="6" l="1"/>
  <c r="K75" i="6"/>
  <c r="P76" i="6"/>
  <c r="J77" i="6"/>
  <c r="Q75" i="6" l="1"/>
  <c r="K76" i="6"/>
  <c r="P77" i="6"/>
  <c r="J78" i="6"/>
  <c r="Q76" i="6" l="1"/>
  <c r="K77" i="6"/>
  <c r="P78" i="6"/>
  <c r="J79" i="6"/>
  <c r="Q77" i="6" l="1"/>
  <c r="K78" i="6"/>
  <c r="P79" i="6"/>
  <c r="J80" i="6"/>
  <c r="Q78" i="6" l="1"/>
  <c r="K79" i="6"/>
  <c r="P80" i="6"/>
  <c r="J81" i="6"/>
  <c r="Q79" i="6" l="1"/>
  <c r="K80" i="6"/>
  <c r="P81" i="6"/>
  <c r="J82" i="6"/>
  <c r="Q80" i="6" l="1"/>
  <c r="K81" i="6"/>
  <c r="P82" i="6"/>
  <c r="J83" i="6"/>
  <c r="J84" i="6" s="1"/>
  <c r="Q81" i="6" l="1"/>
  <c r="K82" i="6"/>
  <c r="J85" i="6"/>
  <c r="P83" i="6"/>
  <c r="P84" i="6" s="1"/>
  <c r="Q82" i="6" l="1"/>
  <c r="K83" i="6"/>
  <c r="P85" i="6"/>
  <c r="J86" i="6"/>
  <c r="Q83" i="6" l="1"/>
  <c r="K84" i="6"/>
  <c r="P86" i="6"/>
  <c r="J87" i="6"/>
  <c r="Q84" i="6" l="1"/>
  <c r="K85" i="6"/>
  <c r="P87" i="6"/>
  <c r="J88" i="6"/>
  <c r="Q85" i="6" l="1"/>
  <c r="K86" i="6"/>
  <c r="P88" i="6"/>
  <c r="J89" i="6"/>
  <c r="Q86" i="6" l="1"/>
  <c r="K87" i="6"/>
  <c r="P89" i="6"/>
  <c r="J90" i="6"/>
  <c r="Q87" i="6" l="1"/>
  <c r="K88" i="6"/>
  <c r="P90" i="6"/>
  <c r="J91" i="6"/>
  <c r="Q88" i="6" l="1"/>
  <c r="K89" i="6"/>
  <c r="P91" i="6"/>
  <c r="J92" i="6"/>
  <c r="Q89" i="6" l="1"/>
  <c r="K90" i="6"/>
  <c r="P92" i="6"/>
  <c r="J93" i="6"/>
  <c r="P93" i="6" s="1"/>
  <c r="Q90" i="6" l="1"/>
  <c r="K91" i="6"/>
  <c r="Q91" i="6" l="1"/>
  <c r="K92" i="6"/>
  <c r="Q92" i="6" l="1"/>
  <c r="K93" i="6"/>
  <c r="Q93" i="6" s="1"/>
</calcChain>
</file>

<file path=xl/sharedStrings.xml><?xml version="1.0" encoding="utf-8"?>
<sst xmlns="http://schemas.openxmlformats.org/spreadsheetml/2006/main" count="641" uniqueCount="106">
  <si>
    <t>guardar el archivo con el nombre del equipo analizado</t>
  </si>
  <si>
    <t xml:space="preserve">escribir los resultados de TODOS los partidos jugados por el equipo bajo análisis en la hoja "datos" </t>
  </si>
  <si>
    <t>filtrar los juegos como local</t>
  </si>
  <si>
    <t>copiar las columnas A-J de los datos filtrados, y pegarlos en las columnas A-J en la hoja "desglose"</t>
  </si>
  <si>
    <t>filtrar los juegos como visitante</t>
  </si>
  <si>
    <t>copiar las columnas A-J de los datos filtrados, y pegarlos en las columnas L-U en la hoja "desglose"</t>
  </si>
  <si>
    <t>quitar los filtros</t>
  </si>
  <si>
    <t>revisar los resultados en la hoja "sumario de distribuciones elegidas"</t>
  </si>
  <si>
    <t>guardar el libro</t>
  </si>
  <si>
    <t>enviar el libro a través del grupo UNITED 26</t>
  </si>
  <si>
    <t>Fecha</t>
  </si>
  <si>
    <t>Equipo</t>
  </si>
  <si>
    <t>Local/Vistiante</t>
  </si>
  <si>
    <t>Resultado</t>
  </si>
  <si>
    <t>GF</t>
  </si>
  <si>
    <t>GA</t>
  </si>
  <si>
    <t>Ëlo rival</t>
  </si>
  <si>
    <t>Rival</t>
  </si>
  <si>
    <t>Tipo</t>
  </si>
  <si>
    <t>K</t>
  </si>
  <si>
    <t>G</t>
  </si>
  <si>
    <t>p</t>
  </si>
  <si>
    <t>type</t>
  </si>
  <si>
    <t>Away</t>
  </si>
  <si>
    <t>W</t>
  </si>
  <si>
    <t>Continental</t>
  </si>
  <si>
    <t>World cup</t>
  </si>
  <si>
    <t>Home</t>
  </si>
  <si>
    <t>D</t>
  </si>
  <si>
    <t>Friendly</t>
  </si>
  <si>
    <t>Qualifier</t>
  </si>
  <si>
    <t>Other</t>
  </si>
  <si>
    <t>L</t>
  </si>
  <si>
    <t>Germany</t>
  </si>
  <si>
    <t>Brazil</t>
  </si>
  <si>
    <t>Switzerland</t>
  </si>
  <si>
    <t>Colombia</t>
  </si>
  <si>
    <t>Portugal</t>
  </si>
  <si>
    <t>GF-local</t>
  </si>
  <si>
    <t>GA-local</t>
  </si>
  <si>
    <t>GF-visitante</t>
  </si>
  <si>
    <t>GA-visitante</t>
  </si>
  <si>
    <t>no. Juegos</t>
  </si>
  <si>
    <t>total goles</t>
  </si>
  <si>
    <t>mínimo goles</t>
  </si>
  <si>
    <t>máximo goles</t>
  </si>
  <si>
    <t>promedio goles</t>
  </si>
  <si>
    <t>varianza goles</t>
  </si>
  <si>
    <t>diferencia relativa</t>
  </si>
  <si>
    <t>OBSERVADOS</t>
  </si>
  <si>
    <t>POISSON</t>
  </si>
  <si>
    <t>Ji cuadradas</t>
  </si>
  <si>
    <t>BINOMIAL</t>
  </si>
  <si>
    <t>BINOMIAL NEGATIVA</t>
  </si>
  <si>
    <t>LOCAL</t>
  </si>
  <si>
    <t>VISTANTE</t>
  </si>
  <si>
    <t>goles</t>
  </si>
  <si>
    <t>GF-vsitante</t>
  </si>
  <si>
    <t>GA-vsitante</t>
  </si>
  <si>
    <t>GF-esperados-Poisson</t>
  </si>
  <si>
    <t>GA-esperados-Poisson</t>
  </si>
  <si>
    <t>GF-esperados-bin</t>
  </si>
  <si>
    <t>GA-esperados-bin</t>
  </si>
  <si>
    <t>GF-esperados-bon</t>
  </si>
  <si>
    <t>GF-esperados-BinNeg</t>
  </si>
  <si>
    <t>GA-esperados-BinNeg</t>
  </si>
  <si>
    <t>media &lt; varianza</t>
  </si>
  <si>
    <t>media &gt; varianza</t>
  </si>
  <si>
    <t>poisson</t>
  </si>
  <si>
    <t>binomial</t>
  </si>
  <si>
    <t>Binomial negativa</t>
  </si>
  <si>
    <t>distribución</t>
  </si>
  <si>
    <t>parámetro 1</t>
  </si>
  <si>
    <t>parámetro 2</t>
  </si>
  <si>
    <t>Egypt</t>
  </si>
  <si>
    <t>Norway</t>
  </si>
  <si>
    <t>Spain</t>
  </si>
  <si>
    <t>Scotland</t>
  </si>
  <si>
    <t>Italy</t>
  </si>
  <si>
    <t>Croatia</t>
  </si>
  <si>
    <t>Georgia</t>
  </si>
  <si>
    <t>Cyprus</t>
  </si>
  <si>
    <t>Andorra</t>
  </si>
  <si>
    <t>Northern Ireland</t>
  </si>
  <si>
    <t>Albania</t>
  </si>
  <si>
    <t>France</t>
  </si>
  <si>
    <t>England</t>
  </si>
  <si>
    <t>Serbia</t>
  </si>
  <si>
    <t>Denmark</t>
  </si>
  <si>
    <t>Netherlands</t>
  </si>
  <si>
    <t>Bulgaria</t>
  </si>
  <si>
    <t>Turkey</t>
  </si>
  <si>
    <t>Ëlo-Runyan SP</t>
  </si>
  <si>
    <t>Iraq</t>
  </si>
  <si>
    <t>F(GF-local)</t>
  </si>
  <si>
    <t>F(GA-local)</t>
  </si>
  <si>
    <t>F(GF-visitante)</t>
  </si>
  <si>
    <t>F(GA-visitante)</t>
  </si>
  <si>
    <t>Peru</t>
  </si>
  <si>
    <t>España</t>
  </si>
  <si>
    <t>Cabo Verde</t>
  </si>
  <si>
    <t>World Cup</t>
  </si>
  <si>
    <t>KSA</t>
  </si>
  <si>
    <t>Uruguay</t>
  </si>
  <si>
    <t>Austria</t>
  </si>
  <si>
    <t>Belgique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</si>
</sst>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EB9C"/>
      </patternFill>
    </fill>
  </fills>
  <borders count="10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24">
    <xf numFmtId="0" fontId="0" fillId="0" borderId="0" xfId="0"/>
    <xf numFmtId="164" fontId="0" fillId="0" borderId="0" xfId="0" applyNumberFormat="1"/>
    <xf numFmtId="14" fontId="0" fillId="0" borderId="0" xfId="0" applyNumberFormat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9" fontId="0" fillId="0" borderId="0" xfId="1" applyFont="1"/>
    <xf numFmtId="9" fontId="0" fillId="0" borderId="0" xfId="0" applyNumberFormat="1"/>
    <xf numFmtId="0" fontId="0" fillId="0" borderId="0" xfId="0" applyAlignment="1">
      <alignment horizontal="center"/>
    </xf>
    <xf numFmtId="0" fontId="0" fillId="0" borderId="6" xfId="0" applyBorder="1" applyAlignment="1">
      <alignment horizontal="center"/>
    </xf>
    <xf numFmtId="0" fontId="2" fillId="2" borderId="2" xfId="2" applyBorder="1" applyAlignment="1">
      <alignment horizontal="center"/>
    </xf>
    <xf numFmtId="0" fontId="2" fillId="2" borderId="3" xfId="2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2" fillId="2" borderId="0" xfId="2" applyAlignment="1">
      <alignment horizontal="center"/>
    </xf>
    <xf numFmtId="0" fontId="0" fillId="0" borderId="5" xfId="0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4" xfId="2" applyBorder="1" applyAlignment="1">
      <alignment horizontal="center"/>
    </xf>
  </cellXfs>
  <cellStyles count="3">
    <cellStyle name="Neutral" xfId="2" builtinId="28"/>
    <cellStyle name="Normal" xfId="0" builtinId="0"/>
    <cellStyle name="Porcentaje" xfId="1" builtinId="5"/>
  </cellStyles>
  <dxfs count="6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0C66CF-375B-47B0-8210-8E7AE79A0DF6}">
  <dimension ref="A1:B10"/>
  <sheetViews>
    <sheetView workbookViewId="0">
      <selection activeCell="B2" sqref="B2"/>
    </sheetView>
  </sheetViews>
  <sheetFormatPr baseColWidth="10" defaultColWidth="11.375" defaultRowHeight="14.25"/>
  <sheetData>
    <row r="1" spans="1:2">
      <c r="A1">
        <v>1</v>
      </c>
      <c r="B1" t="s">
        <v>0</v>
      </c>
    </row>
    <row r="2" spans="1:2">
      <c r="A2">
        <v>2</v>
      </c>
      <c r="B2" t="s">
        <v>1</v>
      </c>
    </row>
    <row r="3" spans="1:2">
      <c r="A3">
        <v>3</v>
      </c>
      <c r="B3" t="s">
        <v>2</v>
      </c>
    </row>
    <row r="4" spans="1:2">
      <c r="A4">
        <v>4</v>
      </c>
      <c r="B4" t="s">
        <v>3</v>
      </c>
    </row>
    <row r="5" spans="1:2">
      <c r="A5">
        <v>5</v>
      </c>
      <c r="B5" t="s">
        <v>4</v>
      </c>
    </row>
    <row r="6" spans="1:2">
      <c r="A6">
        <v>6</v>
      </c>
      <c r="B6" t="s">
        <v>5</v>
      </c>
    </row>
    <row r="7" spans="1:2">
      <c r="A7">
        <v>7</v>
      </c>
      <c r="B7" t="s">
        <v>6</v>
      </c>
    </row>
    <row r="8" spans="1:2">
      <c r="A8">
        <v>8</v>
      </c>
      <c r="B8" t="s">
        <v>7</v>
      </c>
    </row>
    <row r="9" spans="1:2">
      <c r="A9">
        <v>9</v>
      </c>
      <c r="B9" t="s">
        <v>8</v>
      </c>
    </row>
    <row r="10" spans="1:2">
      <c r="A10">
        <v>10</v>
      </c>
      <c r="B10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802990-1C5F-4A52-980D-65307BE97B81}">
  <dimension ref="A1:P49"/>
  <sheetViews>
    <sheetView topLeftCell="A10" zoomScale="90" zoomScaleNormal="90" workbookViewId="0">
      <selection activeCell="D49" sqref="D49"/>
    </sheetView>
  </sheetViews>
  <sheetFormatPr baseColWidth="10" defaultColWidth="11.375" defaultRowHeight="14.25"/>
  <sheetData>
    <row r="1" spans="1:16">
      <c r="A1" t="s">
        <v>10</v>
      </c>
      <c r="B1" t="s">
        <v>92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s="1" t="s">
        <v>18</v>
      </c>
      <c r="K1" t="s">
        <v>19</v>
      </c>
      <c r="L1" t="s">
        <v>20</v>
      </c>
      <c r="M1" t="s">
        <v>21</v>
      </c>
      <c r="O1" t="s">
        <v>22</v>
      </c>
      <c r="P1" t="s">
        <v>19</v>
      </c>
    </row>
    <row r="2" spans="1:16" ht="15.75" customHeight="1">
      <c r="A2" s="2">
        <v>45010</v>
      </c>
      <c r="B2">
        <v>2005</v>
      </c>
      <c r="C2" t="s">
        <v>76</v>
      </c>
      <c r="D2" t="s">
        <v>27</v>
      </c>
      <c r="E2" t="s">
        <v>24</v>
      </c>
      <c r="F2">
        <v>3</v>
      </c>
      <c r="G2">
        <v>0</v>
      </c>
      <c r="H2">
        <v>1745</v>
      </c>
      <c r="I2" t="s">
        <v>75</v>
      </c>
      <c r="J2" t="s">
        <v>30</v>
      </c>
      <c r="K2">
        <f t="shared" ref="K2:K32" si="0">+VLOOKUP(J2,$O$2:$P$6,2,0)</f>
        <v>40</v>
      </c>
      <c r="L2">
        <f t="shared" ref="L2:L32" si="1">+IF(ABS(F2-G2)&lt;=1,1,IF(ABS(F2-G2)=2,1.5,(11+ABS(F2-G2))/8))</f>
        <v>1.75</v>
      </c>
      <c r="M2">
        <f>(1+10^((H2-B2)/400))^-1</f>
        <v>0.81707883419997429</v>
      </c>
      <c r="O2" t="s">
        <v>26</v>
      </c>
      <c r="P2">
        <v>60</v>
      </c>
    </row>
    <row r="3" spans="1:16">
      <c r="A3" s="2">
        <v>45013</v>
      </c>
      <c r="B3">
        <v>1963</v>
      </c>
      <c r="C3" t="s">
        <v>76</v>
      </c>
      <c r="D3" t="s">
        <v>23</v>
      </c>
      <c r="E3" t="s">
        <v>32</v>
      </c>
      <c r="F3">
        <v>0</v>
      </c>
      <c r="G3">
        <v>2</v>
      </c>
      <c r="H3">
        <v>1797</v>
      </c>
      <c r="I3" t="s">
        <v>77</v>
      </c>
      <c r="J3" s="1" t="s">
        <v>30</v>
      </c>
      <c r="K3">
        <f t="shared" si="0"/>
        <v>40</v>
      </c>
      <c r="L3">
        <f t="shared" si="1"/>
        <v>1.5</v>
      </c>
      <c r="M3">
        <f t="shared" ref="M3:M40" si="2">(1+10^((H3-B3)/400))^-1</f>
        <v>0.72223453364917056</v>
      </c>
      <c r="O3" t="s">
        <v>25</v>
      </c>
      <c r="P3">
        <v>50</v>
      </c>
    </row>
    <row r="4" spans="1:16">
      <c r="A4" s="2">
        <v>45092</v>
      </c>
      <c r="B4">
        <v>1987</v>
      </c>
      <c r="C4" t="s">
        <v>76</v>
      </c>
      <c r="D4" t="s">
        <v>27</v>
      </c>
      <c r="E4" t="s">
        <v>24</v>
      </c>
      <c r="F4">
        <v>2</v>
      </c>
      <c r="G4">
        <v>1</v>
      </c>
      <c r="H4">
        <v>1925</v>
      </c>
      <c r="I4" t="s">
        <v>78</v>
      </c>
      <c r="J4" t="s">
        <v>25</v>
      </c>
      <c r="K4">
        <f t="shared" si="0"/>
        <v>50</v>
      </c>
      <c r="L4">
        <f t="shared" si="1"/>
        <v>1</v>
      </c>
      <c r="M4">
        <f t="shared" si="2"/>
        <v>0.58828997186316279</v>
      </c>
      <c r="O4" t="s">
        <v>30</v>
      </c>
      <c r="P4">
        <v>40</v>
      </c>
    </row>
    <row r="5" spans="1:16">
      <c r="A5" s="2">
        <v>45095</v>
      </c>
      <c r="B5">
        <v>1989</v>
      </c>
      <c r="C5" t="s">
        <v>76</v>
      </c>
      <c r="D5" t="s">
        <v>23</v>
      </c>
      <c r="E5" t="s">
        <v>28</v>
      </c>
      <c r="F5">
        <v>0</v>
      </c>
      <c r="G5">
        <v>0</v>
      </c>
      <c r="H5">
        <v>2010</v>
      </c>
      <c r="I5" t="s">
        <v>79</v>
      </c>
      <c r="J5" t="s">
        <v>25</v>
      </c>
      <c r="K5">
        <f t="shared" si="0"/>
        <v>50</v>
      </c>
      <c r="L5">
        <f t="shared" si="1"/>
        <v>1</v>
      </c>
      <c r="M5">
        <f t="shared" si="2"/>
        <v>0.46981531999609799</v>
      </c>
      <c r="O5" t="s">
        <v>31</v>
      </c>
      <c r="P5">
        <v>30</v>
      </c>
    </row>
    <row r="6" spans="1:16">
      <c r="A6" s="2">
        <v>45177</v>
      </c>
      <c r="B6">
        <v>2006</v>
      </c>
      <c r="C6" t="s">
        <v>76</v>
      </c>
      <c r="D6" t="s">
        <v>23</v>
      </c>
      <c r="E6" t="s">
        <v>24</v>
      </c>
      <c r="F6">
        <v>7</v>
      </c>
      <c r="G6">
        <v>1</v>
      </c>
      <c r="H6">
        <v>1633</v>
      </c>
      <c r="I6" t="s">
        <v>80</v>
      </c>
      <c r="J6" t="s">
        <v>30</v>
      </c>
      <c r="K6">
        <f t="shared" si="0"/>
        <v>40</v>
      </c>
      <c r="L6">
        <f t="shared" si="1"/>
        <v>2.125</v>
      </c>
      <c r="M6">
        <f t="shared" si="2"/>
        <v>0.89540314736732851</v>
      </c>
      <c r="O6" t="s">
        <v>29</v>
      </c>
      <c r="P6">
        <v>20</v>
      </c>
    </row>
    <row r="7" spans="1:16">
      <c r="A7" s="2">
        <v>45181</v>
      </c>
      <c r="B7">
        <v>2007</v>
      </c>
      <c r="C7" t="s">
        <v>76</v>
      </c>
      <c r="D7" t="s">
        <v>27</v>
      </c>
      <c r="E7" t="s">
        <v>24</v>
      </c>
      <c r="F7">
        <v>6</v>
      </c>
      <c r="G7">
        <v>0</v>
      </c>
      <c r="H7">
        <v>1334</v>
      </c>
      <c r="I7" t="s">
        <v>81</v>
      </c>
      <c r="J7" t="s">
        <v>30</v>
      </c>
      <c r="K7">
        <f t="shared" si="0"/>
        <v>40</v>
      </c>
      <c r="L7">
        <f t="shared" si="1"/>
        <v>2.125</v>
      </c>
      <c r="M7">
        <f t="shared" si="2"/>
        <v>0.97964970027855325</v>
      </c>
    </row>
    <row r="8" spans="1:16">
      <c r="A8" s="2">
        <v>45211</v>
      </c>
      <c r="B8">
        <v>2017</v>
      </c>
      <c r="C8" t="s">
        <v>76</v>
      </c>
      <c r="D8" t="s">
        <v>27</v>
      </c>
      <c r="E8" t="s">
        <v>24</v>
      </c>
      <c r="F8">
        <v>2</v>
      </c>
      <c r="G8">
        <v>0</v>
      </c>
      <c r="H8">
        <v>1816</v>
      </c>
      <c r="I8" t="s">
        <v>77</v>
      </c>
      <c r="J8" t="s">
        <v>30</v>
      </c>
      <c r="K8">
        <f t="shared" si="0"/>
        <v>40</v>
      </c>
      <c r="L8">
        <f t="shared" si="1"/>
        <v>1.5</v>
      </c>
      <c r="M8">
        <f t="shared" si="2"/>
        <v>0.76079609098914236</v>
      </c>
    </row>
    <row r="9" spans="1:16">
      <c r="A9" s="2">
        <v>45214</v>
      </c>
      <c r="B9">
        <v>2028</v>
      </c>
      <c r="C9" t="s">
        <v>76</v>
      </c>
      <c r="D9" t="s">
        <v>23</v>
      </c>
      <c r="E9" t="s">
        <v>24</v>
      </c>
      <c r="F9">
        <v>1</v>
      </c>
      <c r="G9">
        <v>0</v>
      </c>
      <c r="H9">
        <v>1745</v>
      </c>
      <c r="I9" t="s">
        <v>75</v>
      </c>
      <c r="J9" t="s">
        <v>30</v>
      </c>
      <c r="K9">
        <f t="shared" si="0"/>
        <v>40</v>
      </c>
      <c r="L9">
        <f t="shared" si="1"/>
        <v>1</v>
      </c>
      <c r="M9">
        <f t="shared" si="2"/>
        <v>0.83604342554204703</v>
      </c>
    </row>
    <row r="10" spans="1:16">
      <c r="A10" s="2">
        <v>45246</v>
      </c>
      <c r="B10">
        <v>2030</v>
      </c>
      <c r="C10" t="s">
        <v>76</v>
      </c>
      <c r="D10" t="s">
        <v>23</v>
      </c>
      <c r="E10" t="s">
        <v>24</v>
      </c>
      <c r="F10">
        <v>3</v>
      </c>
      <c r="G10">
        <v>1</v>
      </c>
      <c r="H10">
        <v>1314</v>
      </c>
      <c r="I10" t="s">
        <v>81</v>
      </c>
      <c r="J10" t="s">
        <v>30</v>
      </c>
      <c r="K10">
        <f t="shared" si="0"/>
        <v>40</v>
      </c>
      <c r="L10">
        <f t="shared" si="1"/>
        <v>1.5</v>
      </c>
      <c r="M10">
        <f t="shared" si="2"/>
        <v>0.98404072810939747</v>
      </c>
    </row>
    <row r="11" spans="1:16">
      <c r="A11" s="2">
        <v>45249</v>
      </c>
      <c r="B11">
        <v>2033</v>
      </c>
      <c r="C11" t="s">
        <v>76</v>
      </c>
      <c r="D11" t="s">
        <v>27</v>
      </c>
      <c r="E11" t="s">
        <v>24</v>
      </c>
      <c r="F11">
        <v>3</v>
      </c>
      <c r="G11">
        <v>1</v>
      </c>
      <c r="H11">
        <v>1637</v>
      </c>
      <c r="I11" t="s">
        <v>80</v>
      </c>
      <c r="J11" t="s">
        <v>30</v>
      </c>
      <c r="K11">
        <f t="shared" si="0"/>
        <v>40</v>
      </c>
      <c r="L11">
        <f t="shared" si="1"/>
        <v>1.5</v>
      </c>
      <c r="M11">
        <f t="shared" si="2"/>
        <v>0.90716993615271491</v>
      </c>
    </row>
    <row r="12" spans="1:16">
      <c r="A12" s="2">
        <v>45373</v>
      </c>
      <c r="B12">
        <v>2022</v>
      </c>
      <c r="C12" t="s">
        <v>76</v>
      </c>
      <c r="D12" t="s">
        <v>27</v>
      </c>
      <c r="E12" t="s">
        <v>32</v>
      </c>
      <c r="F12">
        <v>0</v>
      </c>
      <c r="G12">
        <v>1</v>
      </c>
      <c r="H12">
        <v>1995</v>
      </c>
      <c r="I12" t="s">
        <v>36</v>
      </c>
      <c r="J12" t="s">
        <v>29</v>
      </c>
      <c r="K12">
        <f t="shared" si="0"/>
        <v>20</v>
      </c>
      <c r="L12">
        <f t="shared" si="1"/>
        <v>1</v>
      </c>
      <c r="M12">
        <f t="shared" si="2"/>
        <v>0.53877809205717153</v>
      </c>
    </row>
    <row r="13" spans="1:16">
      <c r="A13" s="2">
        <v>45377</v>
      </c>
      <c r="B13">
        <v>2019</v>
      </c>
      <c r="C13" t="s">
        <v>76</v>
      </c>
      <c r="D13" t="s">
        <v>27</v>
      </c>
      <c r="E13" t="s">
        <v>28</v>
      </c>
      <c r="F13">
        <v>3</v>
      </c>
      <c r="G13">
        <v>3</v>
      </c>
      <c r="H13">
        <v>2027</v>
      </c>
      <c r="I13" t="s">
        <v>34</v>
      </c>
      <c r="J13" t="s">
        <v>29</v>
      </c>
      <c r="K13">
        <f t="shared" si="0"/>
        <v>20</v>
      </c>
      <c r="L13">
        <f t="shared" si="1"/>
        <v>1</v>
      </c>
      <c r="M13">
        <f t="shared" si="2"/>
        <v>0.4884891087822083</v>
      </c>
    </row>
    <row r="14" spans="1:16">
      <c r="A14" s="2">
        <v>45448</v>
      </c>
      <c r="B14">
        <v>2019</v>
      </c>
      <c r="C14" t="s">
        <v>76</v>
      </c>
      <c r="D14" t="s">
        <v>27</v>
      </c>
      <c r="E14" t="s">
        <v>24</v>
      </c>
      <c r="F14">
        <v>5</v>
      </c>
      <c r="G14">
        <v>0</v>
      </c>
      <c r="H14">
        <v>1113</v>
      </c>
      <c r="I14" t="s">
        <v>82</v>
      </c>
      <c r="J14" t="s">
        <v>29</v>
      </c>
      <c r="K14">
        <f t="shared" si="0"/>
        <v>20</v>
      </c>
      <c r="L14">
        <f t="shared" si="1"/>
        <v>2</v>
      </c>
      <c r="M14">
        <f t="shared" si="2"/>
        <v>0.994596849319061</v>
      </c>
    </row>
    <row r="15" spans="1:16">
      <c r="A15" s="2">
        <v>45451</v>
      </c>
      <c r="B15">
        <v>2020</v>
      </c>
      <c r="C15" t="s">
        <v>76</v>
      </c>
      <c r="D15" t="s">
        <v>27</v>
      </c>
      <c r="E15" t="s">
        <v>24</v>
      </c>
      <c r="F15">
        <v>5</v>
      </c>
      <c r="G15">
        <v>1</v>
      </c>
      <c r="H15">
        <v>1515</v>
      </c>
      <c r="I15" t="s">
        <v>83</v>
      </c>
      <c r="J15" t="s">
        <v>29</v>
      </c>
      <c r="K15">
        <f t="shared" si="0"/>
        <v>20</v>
      </c>
      <c r="L15">
        <f t="shared" si="1"/>
        <v>1.875</v>
      </c>
      <c r="M15">
        <f t="shared" si="2"/>
        <v>0.94819206111044974</v>
      </c>
    </row>
    <row r="16" spans="1:16">
      <c r="A16" s="2">
        <v>45458</v>
      </c>
      <c r="B16">
        <v>2057</v>
      </c>
      <c r="C16" t="s">
        <v>76</v>
      </c>
      <c r="D16" t="s">
        <v>27</v>
      </c>
      <c r="E16" t="s">
        <v>24</v>
      </c>
      <c r="F16">
        <v>3</v>
      </c>
      <c r="G16">
        <v>0</v>
      </c>
      <c r="H16">
        <v>1931</v>
      </c>
      <c r="I16" t="s">
        <v>79</v>
      </c>
      <c r="J16" t="s">
        <v>25</v>
      </c>
      <c r="K16">
        <f t="shared" si="0"/>
        <v>50</v>
      </c>
      <c r="L16">
        <f t="shared" si="1"/>
        <v>1.75</v>
      </c>
      <c r="M16">
        <f t="shared" si="2"/>
        <v>0.67377618788832216</v>
      </c>
    </row>
    <row r="17" spans="1:13">
      <c r="A17" s="2">
        <v>45463</v>
      </c>
      <c r="B17">
        <v>2075</v>
      </c>
      <c r="C17" t="s">
        <v>76</v>
      </c>
      <c r="D17" t="s">
        <v>27</v>
      </c>
      <c r="E17" t="s">
        <v>24</v>
      </c>
      <c r="F17">
        <v>1</v>
      </c>
      <c r="G17">
        <v>0</v>
      </c>
      <c r="H17">
        <v>1938</v>
      </c>
      <c r="I17" t="s">
        <v>78</v>
      </c>
      <c r="J17" t="s">
        <v>25</v>
      </c>
      <c r="K17">
        <f t="shared" si="0"/>
        <v>50</v>
      </c>
      <c r="L17">
        <f t="shared" si="1"/>
        <v>1</v>
      </c>
      <c r="M17">
        <f t="shared" si="2"/>
        <v>0.68753824821234177</v>
      </c>
    </row>
    <row r="18" spans="1:13">
      <c r="A18" s="2">
        <v>45467</v>
      </c>
      <c r="B18">
        <v>2079</v>
      </c>
      <c r="C18" t="s">
        <v>76</v>
      </c>
      <c r="D18" t="s">
        <v>23</v>
      </c>
      <c r="E18" t="s">
        <v>24</v>
      </c>
      <c r="F18">
        <v>1</v>
      </c>
      <c r="G18">
        <v>0</v>
      </c>
      <c r="H18">
        <v>1630</v>
      </c>
      <c r="I18" t="s">
        <v>84</v>
      </c>
      <c r="J18" t="s">
        <v>25</v>
      </c>
      <c r="K18">
        <f t="shared" si="0"/>
        <v>50</v>
      </c>
      <c r="L18">
        <f t="shared" si="1"/>
        <v>1</v>
      </c>
      <c r="M18">
        <f t="shared" si="2"/>
        <v>0.92986723744842492</v>
      </c>
    </row>
    <row r="19" spans="1:13">
      <c r="A19" s="2">
        <v>45473</v>
      </c>
      <c r="B19">
        <v>2088</v>
      </c>
      <c r="C19" t="s">
        <v>76</v>
      </c>
      <c r="D19" t="s">
        <v>27</v>
      </c>
      <c r="E19" t="s">
        <v>24</v>
      </c>
      <c r="F19">
        <v>4</v>
      </c>
      <c r="G19">
        <v>1</v>
      </c>
      <c r="H19">
        <v>1704</v>
      </c>
      <c r="I19" t="s">
        <v>80</v>
      </c>
      <c r="J19" t="s">
        <v>25</v>
      </c>
      <c r="K19">
        <f t="shared" si="0"/>
        <v>50</v>
      </c>
      <c r="L19">
        <f t="shared" si="1"/>
        <v>1.75</v>
      </c>
      <c r="M19">
        <f t="shared" si="2"/>
        <v>0.9011868291216677</v>
      </c>
    </row>
    <row r="20" spans="1:13">
      <c r="A20" s="2">
        <v>45478</v>
      </c>
      <c r="B20">
        <v>2111</v>
      </c>
      <c r="C20" t="s">
        <v>76</v>
      </c>
      <c r="D20" t="s">
        <v>23</v>
      </c>
      <c r="E20" t="s">
        <v>24</v>
      </c>
      <c r="F20">
        <v>2</v>
      </c>
      <c r="G20">
        <v>1</v>
      </c>
      <c r="H20">
        <v>1933</v>
      </c>
      <c r="I20" t="s">
        <v>33</v>
      </c>
      <c r="J20" t="s">
        <v>25</v>
      </c>
      <c r="K20">
        <f t="shared" si="0"/>
        <v>50</v>
      </c>
      <c r="L20">
        <f t="shared" si="1"/>
        <v>1</v>
      </c>
      <c r="M20">
        <f t="shared" si="2"/>
        <v>0.73587744410147649</v>
      </c>
    </row>
    <row r="21" spans="1:13">
      <c r="A21" s="2">
        <v>45482</v>
      </c>
      <c r="B21">
        <v>2133</v>
      </c>
      <c r="C21" t="s">
        <v>76</v>
      </c>
      <c r="D21" t="s">
        <v>27</v>
      </c>
      <c r="E21" t="s">
        <v>24</v>
      </c>
      <c r="F21">
        <v>2</v>
      </c>
      <c r="G21">
        <v>1</v>
      </c>
      <c r="H21">
        <v>2046</v>
      </c>
      <c r="I21" t="s">
        <v>85</v>
      </c>
      <c r="J21" t="s">
        <v>25</v>
      </c>
      <c r="K21">
        <f t="shared" si="0"/>
        <v>50</v>
      </c>
      <c r="L21">
        <f t="shared" si="1"/>
        <v>1</v>
      </c>
      <c r="M21">
        <f t="shared" si="2"/>
        <v>0.62265019578726211</v>
      </c>
    </row>
    <row r="22" spans="1:13">
      <c r="A22" s="2">
        <v>45487</v>
      </c>
      <c r="B22">
        <v>2149</v>
      </c>
      <c r="C22" t="s">
        <v>76</v>
      </c>
      <c r="D22" t="s">
        <v>27</v>
      </c>
      <c r="E22" t="s">
        <v>24</v>
      </c>
      <c r="F22">
        <v>2</v>
      </c>
      <c r="G22">
        <v>1</v>
      </c>
      <c r="H22">
        <v>1980</v>
      </c>
      <c r="I22" t="s">
        <v>86</v>
      </c>
      <c r="J22" t="s">
        <v>25</v>
      </c>
      <c r="K22">
        <f t="shared" si="0"/>
        <v>50</v>
      </c>
      <c r="L22">
        <f t="shared" si="1"/>
        <v>1</v>
      </c>
      <c r="M22">
        <f t="shared" si="2"/>
        <v>0.72568564627178711</v>
      </c>
    </row>
    <row r="23" spans="1:13">
      <c r="A23" s="2">
        <v>45540</v>
      </c>
      <c r="B23">
        <v>2136</v>
      </c>
      <c r="C23" t="s">
        <v>76</v>
      </c>
      <c r="D23" t="s">
        <v>23</v>
      </c>
      <c r="E23" t="s">
        <v>28</v>
      </c>
      <c r="F23">
        <v>0</v>
      </c>
      <c r="G23">
        <v>0</v>
      </c>
      <c r="H23">
        <v>1802</v>
      </c>
      <c r="I23" t="s">
        <v>87</v>
      </c>
      <c r="J23" t="s">
        <v>25</v>
      </c>
      <c r="K23">
        <f t="shared" si="0"/>
        <v>50</v>
      </c>
      <c r="L23">
        <f t="shared" si="1"/>
        <v>1</v>
      </c>
      <c r="M23">
        <f t="shared" si="2"/>
        <v>0.87243460363575975</v>
      </c>
    </row>
    <row r="24" spans="1:13">
      <c r="A24" s="2">
        <v>45543</v>
      </c>
      <c r="B24">
        <v>2156</v>
      </c>
      <c r="C24" t="s">
        <v>76</v>
      </c>
      <c r="D24" t="s">
        <v>23</v>
      </c>
      <c r="E24" t="s">
        <v>24</v>
      </c>
      <c r="F24">
        <v>4</v>
      </c>
      <c r="G24">
        <v>1</v>
      </c>
      <c r="H24">
        <v>1854</v>
      </c>
      <c r="I24" t="s">
        <v>35</v>
      </c>
      <c r="J24" t="s">
        <v>25</v>
      </c>
      <c r="K24">
        <f t="shared" si="0"/>
        <v>50</v>
      </c>
      <c r="L24">
        <f t="shared" si="1"/>
        <v>1.75</v>
      </c>
      <c r="M24">
        <f t="shared" si="2"/>
        <v>0.85049030154680272</v>
      </c>
    </row>
    <row r="25" spans="1:13">
      <c r="A25" s="2">
        <v>45577</v>
      </c>
      <c r="B25">
        <v>2160</v>
      </c>
      <c r="C25" t="s">
        <v>76</v>
      </c>
      <c r="D25" t="s">
        <v>27</v>
      </c>
      <c r="E25" t="s">
        <v>24</v>
      </c>
      <c r="F25">
        <v>1</v>
      </c>
      <c r="G25">
        <v>0</v>
      </c>
      <c r="H25">
        <v>1859</v>
      </c>
      <c r="I25" t="s">
        <v>88</v>
      </c>
      <c r="J25" t="s">
        <v>25</v>
      </c>
      <c r="K25">
        <f t="shared" si="0"/>
        <v>50</v>
      </c>
      <c r="L25">
        <f t="shared" si="1"/>
        <v>1</v>
      </c>
      <c r="M25">
        <f t="shared" si="2"/>
        <v>0.84975685184274619</v>
      </c>
    </row>
    <row r="26" spans="1:13">
      <c r="A26" s="2">
        <v>45580</v>
      </c>
      <c r="B26">
        <v>2165</v>
      </c>
      <c r="C26" t="s">
        <v>76</v>
      </c>
      <c r="D26" t="s">
        <v>27</v>
      </c>
      <c r="E26" t="s">
        <v>24</v>
      </c>
      <c r="F26">
        <v>3</v>
      </c>
      <c r="G26">
        <v>0</v>
      </c>
      <c r="H26">
        <v>1806</v>
      </c>
      <c r="I26" t="s">
        <v>87</v>
      </c>
      <c r="J26" t="s">
        <v>25</v>
      </c>
      <c r="K26">
        <f t="shared" si="0"/>
        <v>50</v>
      </c>
      <c r="L26">
        <f t="shared" si="1"/>
        <v>1.75</v>
      </c>
      <c r="M26">
        <f t="shared" si="2"/>
        <v>0.88761125985985445</v>
      </c>
    </row>
    <row r="27" spans="1:13">
      <c r="A27" s="2">
        <v>45611</v>
      </c>
      <c r="B27">
        <v>2175</v>
      </c>
      <c r="C27" t="s">
        <v>76</v>
      </c>
      <c r="D27" t="s">
        <v>23</v>
      </c>
      <c r="E27" t="s">
        <v>24</v>
      </c>
      <c r="F27">
        <v>2</v>
      </c>
      <c r="G27">
        <v>1</v>
      </c>
      <c r="H27">
        <v>1853</v>
      </c>
      <c r="I27" t="s">
        <v>88</v>
      </c>
      <c r="J27" t="s">
        <v>25</v>
      </c>
      <c r="K27">
        <f t="shared" si="0"/>
        <v>50</v>
      </c>
      <c r="L27">
        <f t="shared" si="1"/>
        <v>1</v>
      </c>
      <c r="M27">
        <f t="shared" si="2"/>
        <v>0.86454700541130447</v>
      </c>
    </row>
    <row r="28" spans="1:13">
      <c r="A28" s="2">
        <v>45614</v>
      </c>
      <c r="B28">
        <v>2178</v>
      </c>
      <c r="C28" t="s">
        <v>76</v>
      </c>
      <c r="D28" t="s">
        <v>27</v>
      </c>
      <c r="E28" t="s">
        <v>24</v>
      </c>
      <c r="F28">
        <v>3</v>
      </c>
      <c r="G28">
        <v>2</v>
      </c>
      <c r="H28">
        <v>1814</v>
      </c>
      <c r="I28" t="s">
        <v>35</v>
      </c>
      <c r="J28" t="s">
        <v>25</v>
      </c>
      <c r="K28">
        <f t="shared" si="0"/>
        <v>50</v>
      </c>
      <c r="L28">
        <f t="shared" si="1"/>
        <v>1</v>
      </c>
      <c r="M28">
        <f t="shared" si="2"/>
        <v>0.89045063872292474</v>
      </c>
    </row>
    <row r="29" spans="1:13">
      <c r="A29" s="2">
        <v>45736</v>
      </c>
      <c r="B29">
        <v>2168</v>
      </c>
      <c r="C29" t="s">
        <v>76</v>
      </c>
      <c r="D29" t="s">
        <v>23</v>
      </c>
      <c r="E29" t="s">
        <v>28</v>
      </c>
      <c r="F29">
        <v>2</v>
      </c>
      <c r="G29">
        <v>2</v>
      </c>
      <c r="H29">
        <v>1948</v>
      </c>
      <c r="I29" t="s">
        <v>89</v>
      </c>
      <c r="J29" t="s">
        <v>25</v>
      </c>
      <c r="K29">
        <f t="shared" si="0"/>
        <v>50</v>
      </c>
      <c r="L29">
        <f t="shared" si="1"/>
        <v>1</v>
      </c>
      <c r="M29">
        <f t="shared" si="2"/>
        <v>0.78012960399315845</v>
      </c>
    </row>
    <row r="30" spans="1:13">
      <c r="A30" s="2">
        <v>45739</v>
      </c>
      <c r="B30">
        <v>2150</v>
      </c>
      <c r="C30" t="s">
        <v>76</v>
      </c>
      <c r="D30" t="s">
        <v>27</v>
      </c>
      <c r="E30" t="s">
        <v>28</v>
      </c>
      <c r="F30">
        <v>3</v>
      </c>
      <c r="G30">
        <v>3</v>
      </c>
      <c r="H30">
        <v>1966</v>
      </c>
      <c r="I30" t="s">
        <v>89</v>
      </c>
      <c r="J30" t="s">
        <v>25</v>
      </c>
      <c r="K30">
        <f t="shared" si="0"/>
        <v>50</v>
      </c>
      <c r="L30">
        <f t="shared" si="1"/>
        <v>1</v>
      </c>
      <c r="M30">
        <f t="shared" si="2"/>
        <v>0.74253555894306977</v>
      </c>
    </row>
    <row r="31" spans="1:13">
      <c r="A31" s="2">
        <v>45813</v>
      </c>
      <c r="B31">
        <v>2167</v>
      </c>
      <c r="C31" t="s">
        <v>76</v>
      </c>
      <c r="D31" t="s">
        <v>27</v>
      </c>
      <c r="E31" t="s">
        <v>24</v>
      </c>
      <c r="F31">
        <v>5</v>
      </c>
      <c r="G31">
        <v>4</v>
      </c>
      <c r="H31">
        <v>2013</v>
      </c>
      <c r="I31" t="s">
        <v>85</v>
      </c>
      <c r="J31" t="s">
        <v>25</v>
      </c>
      <c r="K31">
        <f t="shared" si="0"/>
        <v>50</v>
      </c>
      <c r="L31">
        <f t="shared" si="1"/>
        <v>1</v>
      </c>
      <c r="M31">
        <f t="shared" si="2"/>
        <v>0.7081663882812006</v>
      </c>
    </row>
    <row r="32" spans="1:13">
      <c r="A32" s="2">
        <v>45816</v>
      </c>
      <c r="B32">
        <v>2157</v>
      </c>
      <c r="C32" t="s">
        <v>76</v>
      </c>
      <c r="D32" t="s">
        <v>23</v>
      </c>
      <c r="E32" t="s">
        <v>28</v>
      </c>
      <c r="F32">
        <v>2</v>
      </c>
      <c r="G32">
        <v>2</v>
      </c>
      <c r="H32">
        <v>2030</v>
      </c>
      <c r="I32" t="s">
        <v>37</v>
      </c>
      <c r="J32" t="s">
        <v>25</v>
      </c>
      <c r="K32">
        <f t="shared" si="0"/>
        <v>50</v>
      </c>
      <c r="L32">
        <f t="shared" si="1"/>
        <v>1</v>
      </c>
      <c r="M32">
        <f t="shared" si="2"/>
        <v>0.67504020104029872</v>
      </c>
    </row>
    <row r="33" spans="1:13">
      <c r="A33" s="2">
        <v>45904</v>
      </c>
      <c r="B33">
        <v>2159</v>
      </c>
      <c r="C33" t="s">
        <v>76</v>
      </c>
      <c r="D33" t="s">
        <v>23</v>
      </c>
      <c r="E33" t="s">
        <v>24</v>
      </c>
      <c r="F33">
        <v>3</v>
      </c>
      <c r="G33">
        <v>0</v>
      </c>
      <c r="H33">
        <v>1450</v>
      </c>
      <c r="I33" t="s">
        <v>90</v>
      </c>
      <c r="J33" t="s">
        <v>30</v>
      </c>
      <c r="K33">
        <f>+VLOOKUP(J33,$O$2:$P$6,2,0)</f>
        <v>40</v>
      </c>
      <c r="L33">
        <f>+IF(ABS(F33-G33)&lt;=1,1,IF(ABS(F33-G33)=2,1.5,(11+ABS(F33-G33))/8))</f>
        <v>1.75</v>
      </c>
      <c r="M33">
        <f t="shared" si="2"/>
        <v>0.98339540923272262</v>
      </c>
    </row>
    <row r="34" spans="1:13">
      <c r="A34" s="2">
        <v>45907</v>
      </c>
      <c r="B34">
        <v>2179</v>
      </c>
      <c r="C34" t="s">
        <v>76</v>
      </c>
      <c r="D34" t="s">
        <v>23</v>
      </c>
      <c r="E34" t="s">
        <v>24</v>
      </c>
      <c r="F34">
        <v>6</v>
      </c>
      <c r="G34">
        <v>0</v>
      </c>
      <c r="H34">
        <v>1835</v>
      </c>
      <c r="I34" t="s">
        <v>91</v>
      </c>
      <c r="J34" t="s">
        <v>30</v>
      </c>
      <c r="K34">
        <f t="shared" ref="K34:K40" si="3">+VLOOKUP(J34,$O$2:$P$6,2,0)</f>
        <v>40</v>
      </c>
      <c r="L34">
        <f t="shared" ref="L34:L40" si="4">+IF(ABS(F34-G34)&lt;=1,1,IF(ABS(F34-G34)=2,1.5,(11+ABS(F34-G34))/8))</f>
        <v>2.125</v>
      </c>
      <c r="M34">
        <f t="shared" si="2"/>
        <v>0.87870495121185144</v>
      </c>
    </row>
    <row r="35" spans="1:13">
      <c r="A35" s="2">
        <v>45941</v>
      </c>
      <c r="B35">
        <v>2181</v>
      </c>
      <c r="C35" t="s">
        <v>76</v>
      </c>
      <c r="D35" t="s">
        <v>27</v>
      </c>
      <c r="E35" t="s">
        <v>24</v>
      </c>
      <c r="F35">
        <v>2</v>
      </c>
      <c r="G35">
        <v>0</v>
      </c>
      <c r="H35">
        <v>1698</v>
      </c>
      <c r="I35" t="s">
        <v>80</v>
      </c>
      <c r="J35" t="s">
        <v>30</v>
      </c>
      <c r="K35">
        <f t="shared" si="3"/>
        <v>40</v>
      </c>
      <c r="L35">
        <f t="shared" si="4"/>
        <v>1.5</v>
      </c>
      <c r="M35">
        <f t="shared" si="2"/>
        <v>0.94160587444700095</v>
      </c>
    </row>
    <row r="36" spans="1:13">
      <c r="A36" s="2">
        <v>45944</v>
      </c>
      <c r="B36">
        <v>2182</v>
      </c>
      <c r="C36" t="s">
        <v>76</v>
      </c>
      <c r="D36" t="s">
        <v>27</v>
      </c>
      <c r="E36" t="s">
        <v>24</v>
      </c>
      <c r="F36">
        <v>4</v>
      </c>
      <c r="G36">
        <v>0</v>
      </c>
      <c r="H36">
        <v>1428</v>
      </c>
      <c r="I36" t="s">
        <v>90</v>
      </c>
      <c r="J36" t="s">
        <v>30</v>
      </c>
      <c r="K36">
        <f t="shared" si="3"/>
        <v>40</v>
      </c>
      <c r="L36">
        <f t="shared" si="4"/>
        <v>1.875</v>
      </c>
      <c r="M36">
        <f t="shared" si="2"/>
        <v>0.98713597195532599</v>
      </c>
    </row>
    <row r="37" spans="1:13">
      <c r="A37" s="2">
        <v>45976</v>
      </c>
      <c r="B37">
        <v>2189</v>
      </c>
      <c r="C37" t="s">
        <v>76</v>
      </c>
      <c r="D37" t="s">
        <v>23</v>
      </c>
      <c r="E37" t="s">
        <v>24</v>
      </c>
      <c r="F37">
        <v>4</v>
      </c>
      <c r="G37">
        <v>0</v>
      </c>
      <c r="H37">
        <v>1678</v>
      </c>
      <c r="I37" t="s">
        <v>80</v>
      </c>
      <c r="J37" t="s">
        <v>30</v>
      </c>
      <c r="K37">
        <f t="shared" si="3"/>
        <v>40</v>
      </c>
      <c r="L37">
        <f t="shared" si="4"/>
        <v>1.875</v>
      </c>
      <c r="M37">
        <f t="shared" si="2"/>
        <v>0.94986271193084504</v>
      </c>
    </row>
    <row r="38" spans="1:13">
      <c r="A38" s="2">
        <v>45979</v>
      </c>
      <c r="B38">
        <v>2172</v>
      </c>
      <c r="C38" t="s">
        <v>76</v>
      </c>
      <c r="D38" t="s">
        <v>27</v>
      </c>
      <c r="E38" t="s">
        <v>28</v>
      </c>
      <c r="F38">
        <v>2</v>
      </c>
      <c r="G38">
        <v>2</v>
      </c>
      <c r="H38">
        <v>1880</v>
      </c>
      <c r="I38" t="s">
        <v>91</v>
      </c>
      <c r="J38" t="s">
        <v>30</v>
      </c>
      <c r="K38">
        <f t="shared" si="3"/>
        <v>40</v>
      </c>
      <c r="L38">
        <f t="shared" si="4"/>
        <v>1</v>
      </c>
      <c r="M38">
        <f t="shared" si="2"/>
        <v>0.84302196441403621</v>
      </c>
    </row>
    <row r="39" spans="1:13">
      <c r="A39" s="2">
        <v>46108</v>
      </c>
      <c r="B39">
        <v>2174</v>
      </c>
      <c r="C39" t="s">
        <v>76</v>
      </c>
      <c r="D39" t="s">
        <v>27</v>
      </c>
      <c r="E39" t="s">
        <v>24</v>
      </c>
      <c r="F39">
        <v>3</v>
      </c>
      <c r="G39">
        <v>0</v>
      </c>
      <c r="H39">
        <v>1766</v>
      </c>
      <c r="I39" t="s">
        <v>87</v>
      </c>
      <c r="J39" t="s">
        <v>29</v>
      </c>
      <c r="K39">
        <f t="shared" si="3"/>
        <v>20</v>
      </c>
      <c r="L39">
        <f t="shared" si="4"/>
        <v>1.75</v>
      </c>
      <c r="M39">
        <f t="shared" si="2"/>
        <v>0.91282581174541322</v>
      </c>
    </row>
    <row r="40" spans="1:13">
      <c r="A40" s="2">
        <v>46112</v>
      </c>
      <c r="B40">
        <v>2165</v>
      </c>
      <c r="C40" t="s">
        <v>76</v>
      </c>
      <c r="D40" t="s">
        <v>27</v>
      </c>
      <c r="E40" t="s">
        <v>28</v>
      </c>
      <c r="F40">
        <v>0</v>
      </c>
      <c r="G40">
        <v>0</v>
      </c>
      <c r="H40">
        <v>1689</v>
      </c>
      <c r="I40" t="s">
        <v>74</v>
      </c>
      <c r="J40" t="s">
        <v>29</v>
      </c>
      <c r="K40">
        <f t="shared" si="3"/>
        <v>20</v>
      </c>
      <c r="L40">
        <f t="shared" si="4"/>
        <v>1</v>
      </c>
      <c r="M40">
        <f t="shared" si="2"/>
        <v>0.93935044149060221</v>
      </c>
    </row>
    <row r="41" spans="1:13">
      <c r="A41" s="2">
        <v>46177</v>
      </c>
      <c r="B41">
        <v>2155</v>
      </c>
      <c r="C41" t="s">
        <v>76</v>
      </c>
      <c r="D41" t="s">
        <v>27</v>
      </c>
      <c r="E41" t="s">
        <v>28</v>
      </c>
      <c r="F41">
        <v>1</v>
      </c>
      <c r="G41">
        <v>1</v>
      </c>
      <c r="H41">
        <v>1618</v>
      </c>
      <c r="I41" t="s">
        <v>93</v>
      </c>
      <c r="J41" t="s">
        <v>29</v>
      </c>
      <c r="K41">
        <f>+VLOOKUP(J41,$O$2:$P$6,2,0)</f>
        <v>20</v>
      </c>
      <c r="L41">
        <f>+IF(ABS(F41-G41)&lt;=1,1,IF(ABS(F41-G41)=2,1.5,(11+ABS(F41-G41))/8))</f>
        <v>1</v>
      </c>
      <c r="M41">
        <f>(1+10^((H41-B41)/400))^-1</f>
        <v>0.95652914258860611</v>
      </c>
    </row>
    <row r="42" spans="1:13">
      <c r="A42" s="2">
        <v>46181</v>
      </c>
      <c r="B42">
        <v>2157</v>
      </c>
      <c r="C42" t="s">
        <v>76</v>
      </c>
      <c r="D42" t="s">
        <v>27</v>
      </c>
      <c r="E42" t="s">
        <v>24</v>
      </c>
      <c r="F42">
        <v>3</v>
      </c>
      <c r="G42">
        <v>1</v>
      </c>
      <c r="H42">
        <v>1699</v>
      </c>
      <c r="I42" t="s">
        <v>98</v>
      </c>
      <c r="J42" t="s">
        <v>29</v>
      </c>
      <c r="K42">
        <f>+VLOOKUP(J42,$O$2:$P$6,2,0)</f>
        <v>20</v>
      </c>
      <c r="L42">
        <f>+IF(ABS(F42-G42)&lt;=1,1,IF(ABS(F42-G42)=2,1.5,(11+ABS(F42-G42))/8))</f>
        <v>1.5</v>
      </c>
      <c r="M42">
        <f>(1+10^((H42-B42)/400))^-1</f>
        <v>0.93317153543033127</v>
      </c>
    </row>
    <row r="43" spans="1:13">
      <c r="C43" t="s">
        <v>99</v>
      </c>
      <c r="D43" t="s">
        <v>27</v>
      </c>
      <c r="E43" t="s">
        <v>28</v>
      </c>
      <c r="F43">
        <v>0</v>
      </c>
      <c r="G43">
        <v>0</v>
      </c>
      <c r="I43" t="s">
        <v>100</v>
      </c>
      <c r="J43" t="s">
        <v>101</v>
      </c>
      <c r="K43">
        <f>+VLOOKUP(J43,$O$2:$P$6,2,0)</f>
        <v>60</v>
      </c>
      <c r="L43">
        <f>+IF(ABS(F43-G43)&lt;=1,1,IF(ABS(F43-G43)=2,1.5,(11+ABS(F43-G43))/8))</f>
        <v>1</v>
      </c>
    </row>
    <row r="44" spans="1:13">
      <c r="C44" t="s">
        <v>99</v>
      </c>
      <c r="D44" t="s">
        <v>27</v>
      </c>
      <c r="E44" t="s">
        <v>24</v>
      </c>
      <c r="F44">
        <v>4</v>
      </c>
      <c r="G44">
        <v>0</v>
      </c>
      <c r="I44" t="s">
        <v>102</v>
      </c>
      <c r="J44" t="s">
        <v>101</v>
      </c>
    </row>
    <row r="45" spans="1:13">
      <c r="C45" t="s">
        <v>99</v>
      </c>
      <c r="D45" t="s">
        <v>23</v>
      </c>
      <c r="E45" t="s">
        <v>24</v>
      </c>
      <c r="F45">
        <v>1</v>
      </c>
      <c r="G45">
        <v>0</v>
      </c>
      <c r="I45" t="s">
        <v>103</v>
      </c>
      <c r="J45" t="s">
        <v>101</v>
      </c>
    </row>
    <row r="46" spans="1:13">
      <c r="C46" t="s">
        <v>99</v>
      </c>
      <c r="D46" t="s">
        <v>27</v>
      </c>
      <c r="E46" t="s">
        <v>24</v>
      </c>
      <c r="F46">
        <v>3</v>
      </c>
      <c r="G46">
        <v>0</v>
      </c>
      <c r="I46" t="s">
        <v>104</v>
      </c>
      <c r="J46" t="s">
        <v>101</v>
      </c>
    </row>
    <row r="47" spans="1:13">
      <c r="C47" t="s">
        <v>99</v>
      </c>
      <c r="D47" t="s">
        <v>23</v>
      </c>
      <c r="E47" t="s">
        <v>24</v>
      </c>
      <c r="F47">
        <v>1</v>
      </c>
      <c r="G47">
        <v>0</v>
      </c>
      <c r="I47" t="s">
        <v>37</v>
      </c>
      <c r="J47" t="s">
        <v>101</v>
      </c>
    </row>
    <row r="48" spans="1:13">
      <c r="C48" t="s">
        <v>99</v>
      </c>
      <c r="D48" t="s">
        <v>27</v>
      </c>
      <c r="E48" t="s">
        <v>24</v>
      </c>
      <c r="F48">
        <v>2</v>
      </c>
      <c r="G48">
        <v>1</v>
      </c>
      <c r="I48" t="s">
        <v>105</v>
      </c>
      <c r="J48" t="s">
        <v>101</v>
      </c>
    </row>
    <row r="49" spans="3:10">
      <c r="C49" t="s">
        <v>99</v>
      </c>
      <c r="D49" t="s">
        <v>23</v>
      </c>
      <c r="E49" t="s">
        <v>24</v>
      </c>
      <c r="F49">
        <v>2</v>
      </c>
      <c r="G49">
        <v>0</v>
      </c>
      <c r="I49" t="s">
        <v>85</v>
      </c>
      <c r="J49" t="s">
        <v>101</v>
      </c>
    </row>
  </sheetData>
  <autoFilter ref="A1:M42" xr:uid="{2E802990-1C5F-4A52-980D-65307BE97B81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1DEE-164B-470F-92C7-2AC4195D1AEF}">
  <dimension ref="A1:U34"/>
  <sheetViews>
    <sheetView workbookViewId="0">
      <selection activeCell="N23" sqref="N23:U23"/>
    </sheetView>
  </sheetViews>
  <sheetFormatPr baseColWidth="10" defaultColWidth="11.375" defaultRowHeight="14.25"/>
  <cols>
    <col min="2" max="2" width="13.375" bestFit="1" customWidth="1"/>
  </cols>
  <sheetData>
    <row r="1" spans="1:21">
      <c r="A1" t="s">
        <v>10</v>
      </c>
      <c r="B1" t="s">
        <v>92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s="1" t="s">
        <v>18</v>
      </c>
      <c r="L1" t="s">
        <v>10</v>
      </c>
      <c r="M1" t="s">
        <v>92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s="1" t="s">
        <v>18</v>
      </c>
    </row>
    <row r="2" spans="1:21">
      <c r="A2" s="2">
        <v>45010</v>
      </c>
      <c r="B2">
        <v>2005</v>
      </c>
      <c r="C2" t="s">
        <v>76</v>
      </c>
      <c r="D2" t="s">
        <v>27</v>
      </c>
      <c r="E2" t="s">
        <v>24</v>
      </c>
      <c r="F2">
        <v>3</v>
      </c>
      <c r="G2">
        <v>0</v>
      </c>
      <c r="H2">
        <v>1745</v>
      </c>
      <c r="I2" t="s">
        <v>75</v>
      </c>
      <c r="J2" s="1" t="s">
        <v>30</v>
      </c>
      <c r="L2" s="2">
        <v>45013</v>
      </c>
      <c r="M2">
        <v>1963</v>
      </c>
      <c r="N2" t="s">
        <v>76</v>
      </c>
      <c r="O2" t="s">
        <v>23</v>
      </c>
      <c r="P2" t="s">
        <v>32</v>
      </c>
      <c r="Q2">
        <v>0</v>
      </c>
      <c r="R2">
        <v>2</v>
      </c>
      <c r="S2">
        <v>1797</v>
      </c>
      <c r="T2" t="s">
        <v>77</v>
      </c>
      <c r="U2" t="s">
        <v>30</v>
      </c>
    </row>
    <row r="3" spans="1:21">
      <c r="A3" s="2">
        <v>45092</v>
      </c>
      <c r="B3">
        <v>1987</v>
      </c>
      <c r="C3" t="s">
        <v>76</v>
      </c>
      <c r="D3" t="s">
        <v>27</v>
      </c>
      <c r="E3" t="s">
        <v>24</v>
      </c>
      <c r="F3">
        <v>2</v>
      </c>
      <c r="G3">
        <v>1</v>
      </c>
      <c r="H3">
        <v>1925</v>
      </c>
      <c r="I3" t="s">
        <v>78</v>
      </c>
      <c r="J3" t="s">
        <v>25</v>
      </c>
      <c r="L3" s="2">
        <v>45095</v>
      </c>
      <c r="M3">
        <v>1989</v>
      </c>
      <c r="N3" t="s">
        <v>76</v>
      </c>
      <c r="O3" t="s">
        <v>23</v>
      </c>
      <c r="P3" t="s">
        <v>28</v>
      </c>
      <c r="Q3">
        <v>0</v>
      </c>
      <c r="R3">
        <v>0</v>
      </c>
      <c r="S3">
        <v>2010</v>
      </c>
      <c r="T3" t="s">
        <v>79</v>
      </c>
      <c r="U3" t="s">
        <v>25</v>
      </c>
    </row>
    <row r="4" spans="1:21">
      <c r="A4" s="2">
        <v>45181</v>
      </c>
      <c r="B4">
        <v>2007</v>
      </c>
      <c r="C4" t="s">
        <v>76</v>
      </c>
      <c r="D4" t="s">
        <v>27</v>
      </c>
      <c r="E4" t="s">
        <v>24</v>
      </c>
      <c r="F4">
        <v>6</v>
      </c>
      <c r="G4">
        <v>0</v>
      </c>
      <c r="H4">
        <v>1334</v>
      </c>
      <c r="I4" t="s">
        <v>81</v>
      </c>
      <c r="J4" t="s">
        <v>30</v>
      </c>
      <c r="L4" s="2">
        <v>45177</v>
      </c>
      <c r="M4">
        <v>2006</v>
      </c>
      <c r="N4" t="s">
        <v>76</v>
      </c>
      <c r="O4" t="s">
        <v>23</v>
      </c>
      <c r="P4" t="s">
        <v>24</v>
      </c>
      <c r="Q4">
        <v>7</v>
      </c>
      <c r="R4">
        <v>1</v>
      </c>
      <c r="S4">
        <v>1633</v>
      </c>
      <c r="T4" t="s">
        <v>80</v>
      </c>
      <c r="U4" t="s">
        <v>30</v>
      </c>
    </row>
    <row r="5" spans="1:21">
      <c r="A5" s="2">
        <v>45211</v>
      </c>
      <c r="B5">
        <v>2017</v>
      </c>
      <c r="C5" t="s">
        <v>76</v>
      </c>
      <c r="D5" t="s">
        <v>27</v>
      </c>
      <c r="E5" t="s">
        <v>24</v>
      </c>
      <c r="F5">
        <v>2</v>
      </c>
      <c r="G5">
        <v>0</v>
      </c>
      <c r="H5">
        <v>1816</v>
      </c>
      <c r="I5" t="s">
        <v>77</v>
      </c>
      <c r="J5" t="s">
        <v>30</v>
      </c>
      <c r="L5" s="2">
        <v>45214</v>
      </c>
      <c r="M5">
        <v>2028</v>
      </c>
      <c r="N5" t="s">
        <v>76</v>
      </c>
      <c r="O5" t="s">
        <v>23</v>
      </c>
      <c r="P5" t="s">
        <v>24</v>
      </c>
      <c r="Q5">
        <v>1</v>
      </c>
      <c r="R5">
        <v>0</v>
      </c>
      <c r="S5">
        <v>1745</v>
      </c>
      <c r="T5" t="s">
        <v>75</v>
      </c>
      <c r="U5" t="s">
        <v>30</v>
      </c>
    </row>
    <row r="6" spans="1:21">
      <c r="A6" s="2">
        <v>45249</v>
      </c>
      <c r="B6">
        <v>2033</v>
      </c>
      <c r="C6" t="s">
        <v>76</v>
      </c>
      <c r="D6" t="s">
        <v>27</v>
      </c>
      <c r="E6" t="s">
        <v>24</v>
      </c>
      <c r="F6">
        <v>3</v>
      </c>
      <c r="G6">
        <v>1</v>
      </c>
      <c r="H6">
        <v>1637</v>
      </c>
      <c r="I6" t="s">
        <v>80</v>
      </c>
      <c r="J6" t="s">
        <v>30</v>
      </c>
      <c r="L6" s="2">
        <v>45246</v>
      </c>
      <c r="M6">
        <v>2030</v>
      </c>
      <c r="N6" t="s">
        <v>76</v>
      </c>
      <c r="O6" t="s">
        <v>23</v>
      </c>
      <c r="P6" t="s">
        <v>24</v>
      </c>
      <c r="Q6">
        <v>3</v>
      </c>
      <c r="R6">
        <v>1</v>
      </c>
      <c r="S6">
        <v>1314</v>
      </c>
      <c r="T6" t="s">
        <v>81</v>
      </c>
      <c r="U6" t="s">
        <v>30</v>
      </c>
    </row>
    <row r="7" spans="1:21">
      <c r="A7" s="2">
        <v>45373</v>
      </c>
      <c r="B7">
        <v>2022</v>
      </c>
      <c r="C7" t="s">
        <v>76</v>
      </c>
      <c r="D7" t="s">
        <v>27</v>
      </c>
      <c r="E7" t="s">
        <v>32</v>
      </c>
      <c r="F7">
        <v>0</v>
      </c>
      <c r="G7">
        <v>1</v>
      </c>
      <c r="H7">
        <v>1995</v>
      </c>
      <c r="I7" t="s">
        <v>36</v>
      </c>
      <c r="J7" t="s">
        <v>29</v>
      </c>
      <c r="L7" s="2">
        <v>45467</v>
      </c>
      <c r="M7">
        <v>2079</v>
      </c>
      <c r="N7" t="s">
        <v>76</v>
      </c>
      <c r="O7" t="s">
        <v>23</v>
      </c>
      <c r="P7" t="s">
        <v>24</v>
      </c>
      <c r="Q7">
        <v>1</v>
      </c>
      <c r="R7">
        <v>0</v>
      </c>
      <c r="S7">
        <v>1630</v>
      </c>
      <c r="T7" t="s">
        <v>84</v>
      </c>
      <c r="U7" t="s">
        <v>25</v>
      </c>
    </row>
    <row r="8" spans="1:21">
      <c r="A8" s="2">
        <v>45377</v>
      </c>
      <c r="B8">
        <v>2019</v>
      </c>
      <c r="C8" t="s">
        <v>76</v>
      </c>
      <c r="D8" t="s">
        <v>27</v>
      </c>
      <c r="E8" t="s">
        <v>28</v>
      </c>
      <c r="F8">
        <v>3</v>
      </c>
      <c r="G8">
        <v>3</v>
      </c>
      <c r="H8">
        <v>2027</v>
      </c>
      <c r="I8" t="s">
        <v>34</v>
      </c>
      <c r="J8" t="s">
        <v>29</v>
      </c>
      <c r="L8" s="2">
        <v>45478</v>
      </c>
      <c r="M8">
        <v>2111</v>
      </c>
      <c r="N8" t="s">
        <v>76</v>
      </c>
      <c r="O8" t="s">
        <v>23</v>
      </c>
      <c r="P8" t="s">
        <v>24</v>
      </c>
      <c r="Q8">
        <v>2</v>
      </c>
      <c r="R8">
        <v>1</v>
      </c>
      <c r="S8">
        <v>1933</v>
      </c>
      <c r="T8" t="s">
        <v>33</v>
      </c>
      <c r="U8" t="s">
        <v>25</v>
      </c>
    </row>
    <row r="9" spans="1:21">
      <c r="A9" s="2">
        <v>45448</v>
      </c>
      <c r="B9">
        <v>2019</v>
      </c>
      <c r="C9" t="s">
        <v>76</v>
      </c>
      <c r="D9" t="s">
        <v>27</v>
      </c>
      <c r="E9" t="s">
        <v>24</v>
      </c>
      <c r="F9">
        <v>5</v>
      </c>
      <c r="G9">
        <v>0</v>
      </c>
      <c r="H9">
        <v>1113</v>
      </c>
      <c r="I9" t="s">
        <v>82</v>
      </c>
      <c r="J9" t="s">
        <v>29</v>
      </c>
      <c r="L9" s="2">
        <v>45540</v>
      </c>
      <c r="M9">
        <v>2136</v>
      </c>
      <c r="N9" t="s">
        <v>76</v>
      </c>
      <c r="O9" t="s">
        <v>23</v>
      </c>
      <c r="P9" t="s">
        <v>28</v>
      </c>
      <c r="Q9">
        <v>0</v>
      </c>
      <c r="R9">
        <v>0</v>
      </c>
      <c r="S9">
        <v>1802</v>
      </c>
      <c r="T9" t="s">
        <v>87</v>
      </c>
      <c r="U9" t="s">
        <v>25</v>
      </c>
    </row>
    <row r="10" spans="1:21">
      <c r="A10" s="2">
        <v>45451</v>
      </c>
      <c r="B10">
        <v>2020</v>
      </c>
      <c r="C10" t="s">
        <v>76</v>
      </c>
      <c r="D10" t="s">
        <v>27</v>
      </c>
      <c r="E10" t="s">
        <v>24</v>
      </c>
      <c r="F10">
        <v>5</v>
      </c>
      <c r="G10">
        <v>1</v>
      </c>
      <c r="H10">
        <v>1515</v>
      </c>
      <c r="I10" t="s">
        <v>83</v>
      </c>
      <c r="J10" t="s">
        <v>29</v>
      </c>
      <c r="L10" s="2">
        <v>45543</v>
      </c>
      <c r="M10">
        <v>2156</v>
      </c>
      <c r="N10" t="s">
        <v>76</v>
      </c>
      <c r="O10" t="s">
        <v>23</v>
      </c>
      <c r="P10" t="s">
        <v>24</v>
      </c>
      <c r="Q10">
        <v>4</v>
      </c>
      <c r="R10">
        <v>1</v>
      </c>
      <c r="S10">
        <v>1854</v>
      </c>
      <c r="T10" t="s">
        <v>35</v>
      </c>
      <c r="U10" t="s">
        <v>25</v>
      </c>
    </row>
    <row r="11" spans="1:21">
      <c r="A11" s="2">
        <v>45458</v>
      </c>
      <c r="B11">
        <v>2057</v>
      </c>
      <c r="C11" t="s">
        <v>76</v>
      </c>
      <c r="D11" t="s">
        <v>27</v>
      </c>
      <c r="E11" t="s">
        <v>24</v>
      </c>
      <c r="F11">
        <v>3</v>
      </c>
      <c r="G11">
        <v>0</v>
      </c>
      <c r="H11">
        <v>1931</v>
      </c>
      <c r="I11" t="s">
        <v>79</v>
      </c>
      <c r="J11" t="s">
        <v>25</v>
      </c>
      <c r="L11" s="2">
        <v>45611</v>
      </c>
      <c r="M11">
        <v>2175</v>
      </c>
      <c r="N11" t="s">
        <v>76</v>
      </c>
      <c r="O11" t="s">
        <v>23</v>
      </c>
      <c r="P11" t="s">
        <v>24</v>
      </c>
      <c r="Q11">
        <v>2</v>
      </c>
      <c r="R11">
        <v>1</v>
      </c>
      <c r="S11">
        <v>1853</v>
      </c>
      <c r="T11" t="s">
        <v>88</v>
      </c>
      <c r="U11" t="s">
        <v>25</v>
      </c>
    </row>
    <row r="12" spans="1:21">
      <c r="A12" s="2">
        <v>45463</v>
      </c>
      <c r="B12">
        <v>2075</v>
      </c>
      <c r="C12" t="s">
        <v>76</v>
      </c>
      <c r="D12" t="s">
        <v>27</v>
      </c>
      <c r="E12" t="s">
        <v>24</v>
      </c>
      <c r="F12">
        <v>1</v>
      </c>
      <c r="G12">
        <v>0</v>
      </c>
      <c r="H12">
        <v>1938</v>
      </c>
      <c r="I12" t="s">
        <v>78</v>
      </c>
      <c r="J12" t="s">
        <v>25</v>
      </c>
      <c r="L12" s="2">
        <v>45736</v>
      </c>
      <c r="M12">
        <v>2168</v>
      </c>
      <c r="N12" t="s">
        <v>76</v>
      </c>
      <c r="O12" t="s">
        <v>23</v>
      </c>
      <c r="P12" t="s">
        <v>28</v>
      </c>
      <c r="Q12">
        <v>2</v>
      </c>
      <c r="R12">
        <v>2</v>
      </c>
      <c r="S12">
        <v>1948</v>
      </c>
      <c r="T12" t="s">
        <v>89</v>
      </c>
      <c r="U12" t="s">
        <v>25</v>
      </c>
    </row>
    <row r="13" spans="1:21">
      <c r="A13" s="2">
        <v>45473</v>
      </c>
      <c r="B13">
        <v>2088</v>
      </c>
      <c r="C13" t="s">
        <v>76</v>
      </c>
      <c r="D13" t="s">
        <v>27</v>
      </c>
      <c r="E13" t="s">
        <v>24</v>
      </c>
      <c r="F13">
        <v>4</v>
      </c>
      <c r="G13">
        <v>1</v>
      </c>
      <c r="H13">
        <v>1704</v>
      </c>
      <c r="I13" t="s">
        <v>80</v>
      </c>
      <c r="J13" t="s">
        <v>25</v>
      </c>
      <c r="L13" s="2">
        <v>45816</v>
      </c>
      <c r="M13">
        <v>2157</v>
      </c>
      <c r="N13" t="s">
        <v>76</v>
      </c>
      <c r="O13" t="s">
        <v>23</v>
      </c>
      <c r="P13" t="s">
        <v>28</v>
      </c>
      <c r="Q13">
        <v>2</v>
      </c>
      <c r="R13">
        <v>2</v>
      </c>
      <c r="S13">
        <v>2030</v>
      </c>
      <c r="T13" t="s">
        <v>37</v>
      </c>
      <c r="U13" t="s">
        <v>25</v>
      </c>
    </row>
    <row r="14" spans="1:21">
      <c r="A14" s="2">
        <v>45482</v>
      </c>
      <c r="B14">
        <v>2133</v>
      </c>
      <c r="C14" t="s">
        <v>76</v>
      </c>
      <c r="D14" t="s">
        <v>27</v>
      </c>
      <c r="E14" t="s">
        <v>24</v>
      </c>
      <c r="F14">
        <v>2</v>
      </c>
      <c r="G14">
        <v>1</v>
      </c>
      <c r="H14">
        <v>2046</v>
      </c>
      <c r="I14" t="s">
        <v>85</v>
      </c>
      <c r="J14" t="s">
        <v>25</v>
      </c>
      <c r="L14" s="2">
        <v>45904</v>
      </c>
      <c r="M14">
        <v>2159</v>
      </c>
      <c r="N14" t="s">
        <v>76</v>
      </c>
      <c r="O14" t="s">
        <v>23</v>
      </c>
      <c r="P14" t="s">
        <v>24</v>
      </c>
      <c r="Q14">
        <v>3</v>
      </c>
      <c r="R14">
        <v>0</v>
      </c>
      <c r="S14">
        <v>1450</v>
      </c>
      <c r="T14" t="s">
        <v>90</v>
      </c>
      <c r="U14" t="s">
        <v>30</v>
      </c>
    </row>
    <row r="15" spans="1:21">
      <c r="A15" s="2">
        <v>45487</v>
      </c>
      <c r="B15">
        <v>2149</v>
      </c>
      <c r="C15" t="s">
        <v>76</v>
      </c>
      <c r="D15" t="s">
        <v>27</v>
      </c>
      <c r="E15" t="s">
        <v>24</v>
      </c>
      <c r="F15">
        <v>2</v>
      </c>
      <c r="G15">
        <v>1</v>
      </c>
      <c r="H15">
        <v>1980</v>
      </c>
      <c r="I15" t="s">
        <v>86</v>
      </c>
      <c r="J15" t="s">
        <v>25</v>
      </c>
      <c r="L15" s="2">
        <v>45907</v>
      </c>
      <c r="M15">
        <v>2179</v>
      </c>
      <c r="N15" t="s">
        <v>76</v>
      </c>
      <c r="O15" t="s">
        <v>23</v>
      </c>
      <c r="P15" t="s">
        <v>24</v>
      </c>
      <c r="Q15">
        <v>6</v>
      </c>
      <c r="R15">
        <v>0</v>
      </c>
      <c r="S15">
        <v>1835</v>
      </c>
      <c r="T15" t="s">
        <v>91</v>
      </c>
      <c r="U15" t="s">
        <v>30</v>
      </c>
    </row>
    <row r="16" spans="1:21">
      <c r="A16" s="2">
        <v>45577</v>
      </c>
      <c r="B16">
        <v>2160</v>
      </c>
      <c r="C16" t="s">
        <v>76</v>
      </c>
      <c r="D16" t="s">
        <v>27</v>
      </c>
      <c r="E16" t="s">
        <v>24</v>
      </c>
      <c r="F16">
        <v>1</v>
      </c>
      <c r="G16">
        <v>0</v>
      </c>
      <c r="H16">
        <v>1859</v>
      </c>
      <c r="I16" t="s">
        <v>88</v>
      </c>
      <c r="J16" t="s">
        <v>25</v>
      </c>
      <c r="L16" s="2">
        <v>45976</v>
      </c>
      <c r="M16">
        <v>2189</v>
      </c>
      <c r="N16" t="s">
        <v>76</v>
      </c>
      <c r="O16" t="s">
        <v>23</v>
      </c>
      <c r="P16" t="s">
        <v>24</v>
      </c>
      <c r="Q16">
        <v>4</v>
      </c>
      <c r="R16">
        <v>0</v>
      </c>
      <c r="S16">
        <v>1678</v>
      </c>
      <c r="T16" t="s">
        <v>80</v>
      </c>
      <c r="U16" t="s">
        <v>30</v>
      </c>
    </row>
    <row r="17" spans="1:21">
      <c r="A17" s="2">
        <v>45580</v>
      </c>
      <c r="B17">
        <v>2165</v>
      </c>
      <c r="C17" t="s">
        <v>76</v>
      </c>
      <c r="D17" t="s">
        <v>27</v>
      </c>
      <c r="E17" t="s">
        <v>24</v>
      </c>
      <c r="F17">
        <v>3</v>
      </c>
      <c r="G17">
        <v>0</v>
      </c>
      <c r="H17">
        <v>1806</v>
      </c>
      <c r="I17" t="s">
        <v>87</v>
      </c>
      <c r="J17" t="s">
        <v>25</v>
      </c>
      <c r="N17" t="s">
        <v>99</v>
      </c>
      <c r="O17" t="s">
        <v>27</v>
      </c>
      <c r="P17" t="s">
        <v>28</v>
      </c>
      <c r="Q17">
        <v>0</v>
      </c>
      <c r="R17">
        <v>0</v>
      </c>
      <c r="T17" t="s">
        <v>100</v>
      </c>
      <c r="U17" t="s">
        <v>101</v>
      </c>
    </row>
    <row r="18" spans="1:21">
      <c r="A18" s="2">
        <v>45614</v>
      </c>
      <c r="B18">
        <v>2178</v>
      </c>
      <c r="C18" t="s">
        <v>76</v>
      </c>
      <c r="D18" t="s">
        <v>27</v>
      </c>
      <c r="E18" t="s">
        <v>24</v>
      </c>
      <c r="F18">
        <v>3</v>
      </c>
      <c r="G18">
        <v>2</v>
      </c>
      <c r="H18">
        <v>1814</v>
      </c>
      <c r="I18" t="s">
        <v>35</v>
      </c>
      <c r="J18" t="s">
        <v>25</v>
      </c>
      <c r="N18" t="s">
        <v>99</v>
      </c>
      <c r="O18" t="s">
        <v>27</v>
      </c>
      <c r="P18" t="s">
        <v>24</v>
      </c>
      <c r="Q18">
        <v>4</v>
      </c>
      <c r="R18">
        <v>0</v>
      </c>
      <c r="T18" t="s">
        <v>102</v>
      </c>
      <c r="U18" t="s">
        <v>101</v>
      </c>
    </row>
    <row r="19" spans="1:21">
      <c r="A19" s="2">
        <v>45739</v>
      </c>
      <c r="B19">
        <v>2150</v>
      </c>
      <c r="C19" t="s">
        <v>76</v>
      </c>
      <c r="D19" t="s">
        <v>27</v>
      </c>
      <c r="E19" t="s">
        <v>28</v>
      </c>
      <c r="F19">
        <v>3</v>
      </c>
      <c r="G19">
        <v>3</v>
      </c>
      <c r="H19">
        <v>1966</v>
      </c>
      <c r="I19" t="s">
        <v>89</v>
      </c>
      <c r="J19" t="s">
        <v>25</v>
      </c>
      <c r="N19" t="s">
        <v>99</v>
      </c>
      <c r="O19" t="s">
        <v>23</v>
      </c>
      <c r="P19" t="s">
        <v>24</v>
      </c>
      <c r="Q19">
        <v>1</v>
      </c>
      <c r="R19">
        <v>0</v>
      </c>
      <c r="T19" t="s">
        <v>103</v>
      </c>
      <c r="U19" t="s">
        <v>101</v>
      </c>
    </row>
    <row r="20" spans="1:21">
      <c r="A20" s="2">
        <v>45813</v>
      </c>
      <c r="B20">
        <v>2167</v>
      </c>
      <c r="C20" t="s">
        <v>76</v>
      </c>
      <c r="D20" t="s">
        <v>27</v>
      </c>
      <c r="E20" t="s">
        <v>24</v>
      </c>
      <c r="F20">
        <v>5</v>
      </c>
      <c r="G20">
        <v>4</v>
      </c>
      <c r="H20">
        <v>2013</v>
      </c>
      <c r="I20" t="s">
        <v>85</v>
      </c>
      <c r="J20" t="s">
        <v>25</v>
      </c>
      <c r="N20" t="s">
        <v>99</v>
      </c>
      <c r="O20" t="s">
        <v>27</v>
      </c>
      <c r="P20" t="s">
        <v>24</v>
      </c>
      <c r="Q20">
        <v>3</v>
      </c>
      <c r="R20">
        <v>0</v>
      </c>
      <c r="T20" t="s">
        <v>104</v>
      </c>
      <c r="U20" t="s">
        <v>101</v>
      </c>
    </row>
    <row r="21" spans="1:21">
      <c r="A21" s="2">
        <v>45941</v>
      </c>
      <c r="B21">
        <v>2181</v>
      </c>
      <c r="C21" t="s">
        <v>76</v>
      </c>
      <c r="D21" t="s">
        <v>27</v>
      </c>
      <c r="E21" t="s">
        <v>24</v>
      </c>
      <c r="F21">
        <v>2</v>
      </c>
      <c r="G21">
        <v>0</v>
      </c>
      <c r="H21">
        <v>1698</v>
      </c>
      <c r="I21" t="s">
        <v>80</v>
      </c>
      <c r="J21" t="s">
        <v>30</v>
      </c>
      <c r="N21" t="s">
        <v>99</v>
      </c>
      <c r="O21" t="s">
        <v>23</v>
      </c>
      <c r="P21" t="s">
        <v>24</v>
      </c>
      <c r="Q21">
        <v>1</v>
      </c>
      <c r="R21">
        <v>0</v>
      </c>
      <c r="T21" t="s">
        <v>37</v>
      </c>
      <c r="U21" t="s">
        <v>101</v>
      </c>
    </row>
    <row r="22" spans="1:21">
      <c r="A22" s="2">
        <v>45944</v>
      </c>
      <c r="B22">
        <v>2182</v>
      </c>
      <c r="C22" t="s">
        <v>76</v>
      </c>
      <c r="D22" t="s">
        <v>27</v>
      </c>
      <c r="E22" t="s">
        <v>24</v>
      </c>
      <c r="F22">
        <v>4</v>
      </c>
      <c r="G22">
        <v>0</v>
      </c>
      <c r="H22">
        <v>1428</v>
      </c>
      <c r="I22" t="s">
        <v>90</v>
      </c>
      <c r="J22" t="s">
        <v>30</v>
      </c>
      <c r="N22" t="s">
        <v>99</v>
      </c>
      <c r="O22" t="s">
        <v>27</v>
      </c>
      <c r="P22" t="s">
        <v>24</v>
      </c>
      <c r="Q22">
        <v>2</v>
      </c>
      <c r="R22">
        <v>1</v>
      </c>
      <c r="T22" t="s">
        <v>105</v>
      </c>
      <c r="U22" t="s">
        <v>101</v>
      </c>
    </row>
    <row r="23" spans="1:21">
      <c r="A23" s="2">
        <v>45979</v>
      </c>
      <c r="B23">
        <v>2172</v>
      </c>
      <c r="C23" t="s">
        <v>76</v>
      </c>
      <c r="D23" t="s">
        <v>27</v>
      </c>
      <c r="E23" t="s">
        <v>28</v>
      </c>
      <c r="F23">
        <v>2</v>
      </c>
      <c r="G23">
        <v>2</v>
      </c>
      <c r="H23">
        <v>1880</v>
      </c>
      <c r="I23" t="s">
        <v>91</v>
      </c>
      <c r="J23" t="s">
        <v>30</v>
      </c>
      <c r="N23" t="s">
        <v>99</v>
      </c>
      <c r="O23" t="s">
        <v>27</v>
      </c>
      <c r="P23" t="s">
        <v>24</v>
      </c>
      <c r="Q23">
        <v>2</v>
      </c>
      <c r="R23">
        <v>0</v>
      </c>
      <c r="T23" t="s">
        <v>85</v>
      </c>
      <c r="U23" t="s">
        <v>101</v>
      </c>
    </row>
    <row r="24" spans="1:21">
      <c r="A24" s="2">
        <v>46108</v>
      </c>
      <c r="B24">
        <v>2174</v>
      </c>
      <c r="C24" t="s">
        <v>76</v>
      </c>
      <c r="D24" t="s">
        <v>27</v>
      </c>
      <c r="E24" t="s">
        <v>24</v>
      </c>
      <c r="F24">
        <v>3</v>
      </c>
      <c r="G24">
        <v>0</v>
      </c>
      <c r="H24">
        <v>1766</v>
      </c>
      <c r="I24" t="s">
        <v>87</v>
      </c>
      <c r="J24" t="s">
        <v>29</v>
      </c>
    </row>
    <row r="25" spans="1:21">
      <c r="A25" s="2">
        <v>46112</v>
      </c>
      <c r="B25">
        <v>2165</v>
      </c>
      <c r="C25" t="s">
        <v>76</v>
      </c>
      <c r="D25" t="s">
        <v>27</v>
      </c>
      <c r="E25" t="s">
        <v>28</v>
      </c>
      <c r="F25">
        <v>0</v>
      </c>
      <c r="G25">
        <v>0</v>
      </c>
      <c r="H25">
        <v>1689</v>
      </c>
      <c r="I25" t="s">
        <v>74</v>
      </c>
      <c r="J25" t="s">
        <v>29</v>
      </c>
    </row>
    <row r="26" spans="1:21">
      <c r="A26" s="2">
        <v>46177</v>
      </c>
      <c r="B26">
        <v>2155</v>
      </c>
      <c r="C26" t="s">
        <v>76</v>
      </c>
      <c r="D26" t="s">
        <v>27</v>
      </c>
      <c r="E26" t="s">
        <v>28</v>
      </c>
      <c r="F26">
        <v>1</v>
      </c>
      <c r="G26">
        <v>1</v>
      </c>
      <c r="H26">
        <v>1618</v>
      </c>
      <c r="I26" t="s">
        <v>93</v>
      </c>
      <c r="J26" t="s">
        <v>29</v>
      </c>
    </row>
    <row r="27" spans="1:21">
      <c r="A27" s="2">
        <v>46181</v>
      </c>
      <c r="B27">
        <v>2157</v>
      </c>
      <c r="C27" t="s">
        <v>76</v>
      </c>
      <c r="D27" t="s">
        <v>27</v>
      </c>
      <c r="E27" t="s">
        <v>24</v>
      </c>
      <c r="F27">
        <v>3</v>
      </c>
      <c r="G27">
        <v>1</v>
      </c>
      <c r="H27">
        <v>1699</v>
      </c>
      <c r="I27" t="s">
        <v>98</v>
      </c>
      <c r="J27" t="s">
        <v>29</v>
      </c>
    </row>
    <row r="28" spans="1:21">
      <c r="A28" s="2"/>
      <c r="B28" s="1"/>
      <c r="C28" t="s">
        <v>99</v>
      </c>
      <c r="D28" t="s">
        <v>27</v>
      </c>
      <c r="E28" t="s">
        <v>28</v>
      </c>
      <c r="F28">
        <v>0</v>
      </c>
      <c r="G28">
        <v>0</v>
      </c>
      <c r="I28" t="s">
        <v>100</v>
      </c>
      <c r="J28" t="s">
        <v>101</v>
      </c>
    </row>
    <row r="29" spans="1:21">
      <c r="A29" s="2"/>
      <c r="B29" s="1"/>
      <c r="C29" t="s">
        <v>99</v>
      </c>
      <c r="D29" t="s">
        <v>27</v>
      </c>
      <c r="E29" t="s">
        <v>24</v>
      </c>
      <c r="F29">
        <v>4</v>
      </c>
      <c r="G29">
        <v>0</v>
      </c>
      <c r="I29" t="s">
        <v>102</v>
      </c>
      <c r="J29" t="s">
        <v>101</v>
      </c>
    </row>
    <row r="30" spans="1:21">
      <c r="A30" s="2"/>
      <c r="B30" s="1"/>
      <c r="C30" t="s">
        <v>99</v>
      </c>
      <c r="D30" t="s">
        <v>23</v>
      </c>
      <c r="E30" t="s">
        <v>24</v>
      </c>
      <c r="F30">
        <v>1</v>
      </c>
      <c r="G30">
        <v>0</v>
      </c>
      <c r="I30" t="s">
        <v>103</v>
      </c>
      <c r="J30" t="s">
        <v>101</v>
      </c>
    </row>
    <row r="31" spans="1:21">
      <c r="A31" s="2"/>
      <c r="C31" t="s">
        <v>99</v>
      </c>
      <c r="D31" t="s">
        <v>27</v>
      </c>
      <c r="E31" t="s">
        <v>24</v>
      </c>
      <c r="F31">
        <v>3</v>
      </c>
      <c r="G31">
        <v>0</v>
      </c>
      <c r="I31" t="s">
        <v>104</v>
      </c>
      <c r="J31" t="s">
        <v>101</v>
      </c>
    </row>
    <row r="32" spans="1:21">
      <c r="C32" t="s">
        <v>99</v>
      </c>
      <c r="D32" t="s">
        <v>23</v>
      </c>
      <c r="E32" t="s">
        <v>24</v>
      </c>
      <c r="F32">
        <v>1</v>
      </c>
      <c r="G32">
        <v>0</v>
      </c>
      <c r="I32" t="s">
        <v>37</v>
      </c>
      <c r="J32" t="s">
        <v>101</v>
      </c>
    </row>
    <row r="33" spans="3:10">
      <c r="C33" t="s">
        <v>99</v>
      </c>
      <c r="D33" t="s">
        <v>27</v>
      </c>
      <c r="E33" t="s">
        <v>24</v>
      </c>
      <c r="F33">
        <v>2</v>
      </c>
      <c r="G33">
        <v>1</v>
      </c>
      <c r="I33" t="s">
        <v>105</v>
      </c>
      <c r="J33" t="s">
        <v>101</v>
      </c>
    </row>
    <row r="34" spans="3:10">
      <c r="C34" t="s">
        <v>99</v>
      </c>
      <c r="D34" t="s">
        <v>27</v>
      </c>
      <c r="E34" t="s">
        <v>24</v>
      </c>
      <c r="F34">
        <v>2</v>
      </c>
      <c r="G34">
        <v>0</v>
      </c>
      <c r="I34" t="s">
        <v>85</v>
      </c>
      <c r="J34" t="s">
        <v>101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6EA2E1-F0CD-42D1-B9D2-89C8E2F7C4EC}">
  <dimension ref="A1:E8"/>
  <sheetViews>
    <sheetView workbookViewId="0">
      <selection activeCell="B8" sqref="B8"/>
    </sheetView>
  </sheetViews>
  <sheetFormatPr baseColWidth="10" defaultColWidth="11.375" defaultRowHeight="14.25"/>
  <cols>
    <col min="2" max="2" width="11.75" bestFit="1" customWidth="1"/>
  </cols>
  <sheetData>
    <row r="1" spans="1:5">
      <c r="B1" t="s">
        <v>38</v>
      </c>
      <c r="C1" t="s">
        <v>39</v>
      </c>
      <c r="D1" t="s">
        <v>40</v>
      </c>
      <c r="E1" t="s">
        <v>41</v>
      </c>
    </row>
    <row r="2" spans="1:5">
      <c r="A2" t="s">
        <v>42</v>
      </c>
      <c r="B2">
        <f>+COUNT(desglose!F:F)</f>
        <v>33</v>
      </c>
      <c r="C2">
        <f>+COUNT(desglose!G:G)</f>
        <v>33</v>
      </c>
      <c r="D2">
        <f>+COUNT(desglose!Q:Q)</f>
        <v>22</v>
      </c>
      <c r="E2">
        <f>+COUNT(desglose!R:R)</f>
        <v>22</v>
      </c>
    </row>
    <row r="3" spans="1:5">
      <c r="A3" t="s">
        <v>43</v>
      </c>
      <c r="B3">
        <f>+SUM(desglose!F:F)</f>
        <v>84</v>
      </c>
      <c r="C3">
        <f>+SUM(desglose!G:G)</f>
        <v>24</v>
      </c>
      <c r="D3">
        <f>+SUM(desglose!Q:Q)</f>
        <v>50</v>
      </c>
      <c r="E3">
        <f>+SUM(desglose!R:R)</f>
        <v>12</v>
      </c>
    </row>
    <row r="4" spans="1:5">
      <c r="A4" t="s">
        <v>44</v>
      </c>
      <c r="B4">
        <f>+MIN(desglose!F:F)</f>
        <v>0</v>
      </c>
      <c r="C4">
        <f>+MIN(desglose!G:G)</f>
        <v>0</v>
      </c>
      <c r="D4">
        <f>+MIN(desglose!Q:Q)</f>
        <v>0</v>
      </c>
      <c r="E4">
        <f>+MIN(desglose!R:R)</f>
        <v>0</v>
      </c>
    </row>
    <row r="5" spans="1:5">
      <c r="A5" t="s">
        <v>45</v>
      </c>
      <c r="B5">
        <f>+MAX(desglose!F:F)</f>
        <v>6</v>
      </c>
      <c r="C5">
        <f>+MAX(desglose!G:G)</f>
        <v>4</v>
      </c>
      <c r="D5">
        <f>+MAX(desglose!Q:Q)</f>
        <v>7</v>
      </c>
      <c r="E5">
        <f>+MAX(desglose!R:R)</f>
        <v>2</v>
      </c>
    </row>
    <row r="6" spans="1:5">
      <c r="A6" t="s">
        <v>46</v>
      </c>
      <c r="B6">
        <f>AVERAGE(desglose!F:F)</f>
        <v>2.5454545454545454</v>
      </c>
      <c r="C6">
        <f>AVERAGE(desglose!G:G)</f>
        <v>0.72727272727272729</v>
      </c>
      <c r="D6">
        <f>AVERAGE(desglose!Q:Q)</f>
        <v>2.2727272727272729</v>
      </c>
      <c r="E6">
        <f>AVERAGE(desglose!R:R)</f>
        <v>0.54545454545454541</v>
      </c>
    </row>
    <row r="7" spans="1:5">
      <c r="A7" t="s">
        <v>47</v>
      </c>
      <c r="B7">
        <f>STDEV(desglose!F:F)^2</f>
        <v>2.2556818181818183</v>
      </c>
      <c r="C7">
        <f>STDEV(desglose!G:G)^2</f>
        <v>1.0795454545454546</v>
      </c>
      <c r="D7">
        <f>STDEV(desglose!Q:Q)^2</f>
        <v>3.5411255411255413</v>
      </c>
      <c r="E7">
        <f>STDEV(desglose!R:R)^2</f>
        <v>0.54545454545454541</v>
      </c>
    </row>
    <row r="8" spans="1:5">
      <c r="A8" t="s">
        <v>48</v>
      </c>
      <c r="B8" s="12">
        <f>+ABS(B6-B7)/MIN(B6:B7)</f>
        <v>0.12846347607052888</v>
      </c>
      <c r="C8" s="12">
        <f>+ABS(C6-C7)/MIN(C6:C7)</f>
        <v>0.484375</v>
      </c>
      <c r="D8" s="12">
        <f>+ABS(D6-D7)/MIN(D6:D7)</f>
        <v>0.55809523809523809</v>
      </c>
      <c r="E8" s="12">
        <f>+ABS(E6-E7)/MIN(E6:E7)</f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032C0-7227-4968-B1D8-70175120E38C}">
  <dimension ref="A1:AG94"/>
  <sheetViews>
    <sheetView topLeftCell="M1" workbookViewId="0">
      <selection activeCell="W3" sqref="W3"/>
    </sheetView>
  </sheetViews>
  <sheetFormatPr baseColWidth="10" defaultColWidth="11.375" defaultRowHeight="14.25"/>
  <cols>
    <col min="7" max="7" width="12" bestFit="1" customWidth="1"/>
    <col min="11" max="11" width="12" bestFit="1" customWidth="1"/>
    <col min="15" max="15" width="12" bestFit="1" customWidth="1"/>
  </cols>
  <sheetData>
    <row r="1" spans="1:33">
      <c r="B1" s="22" t="s">
        <v>49</v>
      </c>
      <c r="C1" s="18"/>
      <c r="D1" s="18"/>
      <c r="E1" s="19"/>
      <c r="F1" s="16" t="s">
        <v>50</v>
      </c>
      <c r="G1" s="17"/>
      <c r="H1" s="17"/>
      <c r="I1" s="17"/>
      <c r="J1" s="18" t="s">
        <v>51</v>
      </c>
      <c r="K1" s="18"/>
      <c r="L1" s="18"/>
      <c r="M1" s="19"/>
      <c r="N1" s="20" t="s">
        <v>52</v>
      </c>
      <c r="O1" s="20"/>
      <c r="P1" s="20"/>
      <c r="Q1" s="20"/>
      <c r="R1" s="22" t="s">
        <v>51</v>
      </c>
      <c r="S1" s="18"/>
      <c r="T1" s="18"/>
      <c r="U1" s="19"/>
      <c r="V1" s="16" t="s">
        <v>53</v>
      </c>
      <c r="W1" s="17"/>
      <c r="X1" s="17"/>
      <c r="Y1" s="23"/>
      <c r="Z1" s="18" t="s">
        <v>51</v>
      </c>
      <c r="AA1" s="18"/>
      <c r="AB1" s="18"/>
      <c r="AC1" s="19"/>
      <c r="AD1">
        <f>+'estadísticos descriptivos'!B$6^2/('estadísticos descriptivos'!B$7-'estadísticos descriptivos'!B$6)</f>
        <v>-22.360071301247785</v>
      </c>
      <c r="AE1">
        <f>+'estadísticos descriptivos'!C$6^2/('estadísticos descriptivos'!C$7-'estadísticos descriptivos'!C$6)</f>
        <v>1.501466275659824</v>
      </c>
      <c r="AF1">
        <f>+'estadísticos descriptivos'!D$6^2/('estadísticos descriptivos'!D$7-'estadísticos descriptivos'!D$6)</f>
        <v>4.0722928948184931</v>
      </c>
      <c r="AG1" t="e">
        <f>+'estadísticos descriptivos'!E$6^2/('estadísticos descriptivos'!E$7-'estadísticos descriptivos'!E$6)</f>
        <v>#DIV/0!</v>
      </c>
    </row>
    <row r="2" spans="1:33" ht="15" thickBot="1">
      <c r="B2" s="21" t="s">
        <v>54</v>
      </c>
      <c r="C2" s="14"/>
      <c r="D2" s="14" t="s">
        <v>55</v>
      </c>
      <c r="E2" s="15"/>
      <c r="F2" s="21" t="s">
        <v>54</v>
      </c>
      <c r="G2" s="14"/>
      <c r="H2" s="14" t="s">
        <v>55</v>
      </c>
      <c r="I2" s="14"/>
      <c r="J2" s="14" t="s">
        <v>54</v>
      </c>
      <c r="K2" s="14"/>
      <c r="L2" s="14" t="s">
        <v>55</v>
      </c>
      <c r="M2" s="15"/>
      <c r="N2" s="14" t="s">
        <v>54</v>
      </c>
      <c r="O2" s="14"/>
      <c r="P2" s="14" t="s">
        <v>55</v>
      </c>
      <c r="Q2" s="14"/>
      <c r="R2" s="21" t="s">
        <v>54</v>
      </c>
      <c r="S2" s="14"/>
      <c r="T2" s="14" t="s">
        <v>55</v>
      </c>
      <c r="U2" s="15"/>
      <c r="V2" s="21" t="s">
        <v>54</v>
      </c>
      <c r="W2" s="14"/>
      <c r="X2" s="14" t="s">
        <v>55</v>
      </c>
      <c r="Y2" s="15"/>
      <c r="Z2" s="14" t="s">
        <v>54</v>
      </c>
      <c r="AA2" s="14"/>
      <c r="AB2" s="14" t="s">
        <v>55</v>
      </c>
      <c r="AC2" s="15"/>
      <c r="AD2">
        <f>+'estadísticos descriptivos'!B$6/('estadísticos descriptivos'!B$7-'estadísticos descriptivos'!B$6)</f>
        <v>-8.7843137254902022</v>
      </c>
      <c r="AE2">
        <f>+'estadísticos descriptivos'!C$6/('estadísticos descriptivos'!C$7-'estadísticos descriptivos'!C$6)</f>
        <v>2.064516129032258</v>
      </c>
      <c r="AF2">
        <f>+'estadísticos descriptivos'!D$6/('estadísticos descriptivos'!D$7-'estadísticos descriptivos'!D$6)</f>
        <v>1.7918088737201368</v>
      </c>
      <c r="AG2" t="e">
        <f>+'estadísticos descriptivos'!E$6/('estadísticos descriptivos'!E$7-'estadísticos descriptivos'!E$6)</f>
        <v>#DIV/0!</v>
      </c>
    </row>
    <row r="3" spans="1:33" ht="15" thickBot="1">
      <c r="A3" s="8" t="s">
        <v>56</v>
      </c>
      <c r="B3" s="5" t="s">
        <v>38</v>
      </c>
      <c r="C3" s="6" t="s">
        <v>39</v>
      </c>
      <c r="D3" s="6" t="s">
        <v>57</v>
      </c>
      <c r="E3" s="7" t="s">
        <v>58</v>
      </c>
      <c r="F3" s="5" t="s">
        <v>59</v>
      </c>
      <c r="G3" s="6" t="s">
        <v>60</v>
      </c>
      <c r="H3" s="6" t="s">
        <v>59</v>
      </c>
      <c r="I3" s="6" t="s">
        <v>59</v>
      </c>
      <c r="J3" s="6" t="str">
        <f>IF(_xlfn.CHISQ.DIST.RT(SUM(J4:J94),90-1)&lt;=0.05,"rechazar","no rechazar")</f>
        <v>no rechazar</v>
      </c>
      <c r="K3" s="6" t="str">
        <f>IF(_xlfn.CHISQ.DIST.RT(SUM(K4:K94),90-1)&lt;=0.05,"rechazar","no rechazar")</f>
        <v>no rechazar</v>
      </c>
      <c r="L3" s="6" t="str">
        <f>IF(_xlfn.CHISQ.DIST.RT(SUM(L4:L94),90-1)&lt;=0.05,"rechazar","no rechazar")</f>
        <v>no rechazar</v>
      </c>
      <c r="M3" s="6" t="str">
        <f>IF(_xlfn.CHISQ.DIST.RT(SUM(M4:M94),90-1)&lt;=0.05,"rechazar","no rechazar")</f>
        <v>no rechazar</v>
      </c>
      <c r="N3" s="5" t="s">
        <v>61</v>
      </c>
      <c r="O3" s="6" t="s">
        <v>62</v>
      </c>
      <c r="P3" s="6" t="s">
        <v>61</v>
      </c>
      <c r="Q3" s="6" t="s">
        <v>63</v>
      </c>
      <c r="R3" s="5" t="str">
        <f>IF(_xlfn.CHISQ.DIST.RT(SUM(R4:R94),90-1)&lt;=0.05,"rechazar","no rechazar")</f>
        <v>no rechazar</v>
      </c>
      <c r="S3" s="6" t="str">
        <f>IF(_xlfn.CHISQ.DIST.RT(SUM(S4:S94),90-1)&lt;=0.05,"rechazar","no rechazar")</f>
        <v>no rechazar</v>
      </c>
      <c r="T3" s="6" t="str">
        <f>IF(_xlfn.CHISQ.DIST.RT(SUM(T4:T94),90-1)&lt;=0.05,"rechazar","no rechazar")</f>
        <v>no rechazar</v>
      </c>
      <c r="U3" s="7" t="str">
        <f>IF(_xlfn.CHISQ.DIST.RT(SUM(U4:U94),90-1)&lt;=0.05,"rechazar","no rechazar")</f>
        <v>no rechazar</v>
      </c>
      <c r="V3" s="3" t="s">
        <v>64</v>
      </c>
      <c r="W3" t="s">
        <v>65</v>
      </c>
      <c r="X3" t="s">
        <v>64</v>
      </c>
      <c r="Y3" s="4" t="s">
        <v>64</v>
      </c>
      <c r="Z3" t="str">
        <f>IF(_xlfn.CHISQ.DIST.RT(SUM(Z4:Z94),90-1)&lt;=0.05,"rechazar","no rechazar")</f>
        <v>no rechazar</v>
      </c>
      <c r="AA3" t="str">
        <f>IF(_xlfn.CHISQ.DIST.RT(SUM(AA4:AA94),90-1)&lt;=0.05,"rechazar","no rechazar")</f>
        <v>no rechazar</v>
      </c>
      <c r="AB3" t="str">
        <f>IF(_xlfn.CHISQ.DIST.RT(SUM(AB4:AB94),90-1)&lt;=0.05,"rechazar","no rechazar")</f>
        <v>no rechazar</v>
      </c>
      <c r="AC3" s="4" t="e">
        <f>IF(_xlfn.CHISQ.DIST.RT(SUM(AC4:AC94),90-1)&lt;=0.05,"rechazar","no rechazar")</f>
        <v>#DIV/0!</v>
      </c>
    </row>
    <row r="4" spans="1:33">
      <c r="A4">
        <v>0</v>
      </c>
      <c r="B4" s="3">
        <f>+COUNTIF(desglose!F:F,'pruebas de bondad de ajuste'!$A4)</f>
        <v>3</v>
      </c>
      <c r="C4">
        <f>+COUNTIF(desglose!G:G,'pruebas de bondad de ajuste'!$A4)</f>
        <v>18</v>
      </c>
      <c r="D4">
        <f>+COUNTIF(desglose!Q:Q,'pruebas de bondad de ajuste'!$A4)</f>
        <v>4</v>
      </c>
      <c r="E4" s="4">
        <f>+COUNTIF(desglose!R:R,'pruebas de bondad de ajuste'!$A4)</f>
        <v>13</v>
      </c>
      <c r="F4" s="3">
        <f>+_xlfn.POISSON.DIST($A4,'estadísticos descriptivos'!B$6,0)*'estadísticos descriptivos'!B$2</f>
        <v>2.5884338870653121</v>
      </c>
      <c r="G4">
        <f>+_xlfn.POISSON.DIST($A4,'estadísticos descriptivos'!C$6,0)*'estadísticos descriptivos'!C$2</f>
        <v>15.946427679264239</v>
      </c>
      <c r="H4">
        <f>+_xlfn.POISSON.DIST($A4,'estadísticos descriptivos'!D$6,0)*'estadísticos descriptivos'!D$2</f>
        <v>2.2666776761588117</v>
      </c>
      <c r="I4">
        <f>+_xlfn.POISSON.DIST($A4,'estadísticos descriptivos'!E$6,0)*'estadísticos descriptivos'!E$2</f>
        <v>12.750722133265809</v>
      </c>
      <c r="J4">
        <f>+($B4-F4)^2/F4</f>
        <v>6.5439826824479477E-2</v>
      </c>
      <c r="K4">
        <f>+($C4-G4)^2/G4</f>
        <v>0.26445793135071838</v>
      </c>
      <c r="L4">
        <f>+($D4-H4)^2/H4</f>
        <v>1.3254669201214289</v>
      </c>
      <c r="M4" s="4">
        <f>+($E4-I4)^2/I4</f>
        <v>4.8734067132897053E-3</v>
      </c>
      <c r="N4">
        <f>BINOMDIST($A4,90,'estadísticos descriptivos'!B$6/90,0)*'estadísticos descriptivos'!B$2</f>
        <v>2.4951859108715264</v>
      </c>
      <c r="O4">
        <f>BINOMDIST($A4,90,'estadísticos descriptivos'!C$6/90,0)*'estadísticos descriptivos'!C$2</f>
        <v>15.899385040676409</v>
      </c>
      <c r="P4">
        <f>BINOMDIST($A4,90,'estadísticos descriptivos'!D$6/90,0)*'estadísticos descriptivos'!D$2</f>
        <v>2.2014730231519803</v>
      </c>
      <c r="Q4">
        <f>BINOMDIST($A4,90,'estadísticos descriptivos'!E$6/90,0)*'estadísticos descriptivos'!E$2</f>
        <v>12.729578566508954</v>
      </c>
      <c r="R4" s="3">
        <f>+($B4-N4)^2/N4</f>
        <v>0.10213157403313491</v>
      </c>
      <c r="S4">
        <f>+($C4-O4)^2/O4</f>
        <v>0.27753169044243292</v>
      </c>
      <c r="T4">
        <f>+($D4-P4)^2/P4</f>
        <v>1.469334056076129</v>
      </c>
      <c r="U4">
        <f>+($E4-Q4)^2/Q4</f>
        <v>5.7447111315804926E-3</v>
      </c>
      <c r="V4" s="9">
        <f>+(AD$2/(1+AD$2))^AD$1*'estadísticos descriptivos'!B$2</f>
        <v>2.2125318728000791</v>
      </c>
      <c r="W4" s="10">
        <f>+(AE$2/(1+AE$2))^AE$1*'estadísticos descriptivos'!C$2</f>
        <v>18.236729763650079</v>
      </c>
      <c r="X4" s="10">
        <f>+(AF$2/(1+AF$2))^AF$1*'estadísticos descriptivos'!D$2</f>
        <v>3.615126527376272</v>
      </c>
      <c r="Y4" s="11" t="e">
        <f>+(AG$2/(1+AG$2))^AG$1*'estadísticos descriptivos'!E$2</f>
        <v>#DIV/0!</v>
      </c>
      <c r="Z4" s="10">
        <f>+($B4-V4)^2/V4</f>
        <v>0.28026988400893543</v>
      </c>
      <c r="AA4" s="10">
        <f>+($C4-W4)^2/W4</f>
        <v>3.0729731549526194E-3</v>
      </c>
      <c r="AB4" s="10">
        <f>+($D4-X4)^2/X4</f>
        <v>4.0974386043675516E-2</v>
      </c>
      <c r="AC4" s="11" t="e">
        <f>+($E4-Y4)^2/Y4</f>
        <v>#DIV/0!</v>
      </c>
    </row>
    <row r="5" spans="1:33">
      <c r="A5">
        <f>1+A4</f>
        <v>1</v>
      </c>
      <c r="B5" s="3">
        <f>+COUNTIF(desglose!F:F,'pruebas de bondad de ajuste'!$A5)</f>
        <v>5</v>
      </c>
      <c r="C5">
        <f>+COUNTIF(desglose!G:G,'pruebas de bondad de ajuste'!$A5)</f>
        <v>10</v>
      </c>
      <c r="D5">
        <f>+COUNTIF(desglose!Q:Q,'pruebas de bondad de ajuste'!$A5)</f>
        <v>4</v>
      </c>
      <c r="E5" s="4">
        <f>+COUNTIF(desglose!R:R,'pruebas de bondad de ajuste'!$A5)/'estadísticos descriptivos'!E$2</f>
        <v>0.27272727272727271</v>
      </c>
      <c r="F5" s="3">
        <f>+_xlfn.POISSON.DIST($A5,'estadísticos descriptivos'!B$6,0)*'estadísticos descriptivos'!B$2</f>
        <v>6.5887408034389763</v>
      </c>
      <c r="G5">
        <f>+_xlfn.POISSON.DIST($A5,'estadísticos descriptivos'!C$6,0)*'estadísticos descriptivos'!C$2</f>
        <v>11.59740194855581</v>
      </c>
      <c r="H5">
        <f>+_xlfn.POISSON.DIST($A5,'estadísticos descriptivos'!D$6,0)*'estadísticos descriptivos'!D$2</f>
        <v>5.1515401730882084</v>
      </c>
      <c r="I5">
        <f>+_xlfn.POISSON.DIST($A5,'estadísticos descriptivos'!E$6,0)*'estadísticos descriptivos'!E$2</f>
        <v>6.9549393454177126</v>
      </c>
      <c r="J5">
        <f t="shared" ref="J5:J68" si="0">+($B5-F5)^2/F5</f>
        <v>0.38309252341425809</v>
      </c>
      <c r="K5">
        <f t="shared" ref="K5:K68" si="1">+($C5-G5)^2/G5</f>
        <v>0.22002281170979437</v>
      </c>
      <c r="L5">
        <f t="shared" ref="L5:L68" si="2">+($D5-H5)^2/H5</f>
        <v>0.25740744043175989</v>
      </c>
      <c r="M5" s="4">
        <f t="shared" ref="M5:M68" si="3">+($E5-I5)^2/I5</f>
        <v>6.420179381410275</v>
      </c>
      <c r="N5">
        <f>BINOMDIST($A5,90,'estadísticos descriptivos'!B$6/90,0)*'estadísticos descriptivos'!B$2</f>
        <v>6.5362458372102337</v>
      </c>
      <c r="O5">
        <f>BINOMDIST($A5,90,'estadísticos descriptivos'!C$6/90,0)*'estadísticos descriptivos'!C$2</f>
        <v>11.657390253856432</v>
      </c>
      <c r="P5">
        <f>BINOMDIST($A5,90,'estadísticos descriptivos'!D$6/90,0)*'estadísticos descriptivos'!D$2</f>
        <v>5.1329681886963288</v>
      </c>
      <c r="Q5">
        <f>BINOMDIST($A5,90,'estadísticos descriptivos'!E$6/90,0)*'estadísticos descriptivos'!E$2</f>
        <v>6.9857443352793025</v>
      </c>
      <c r="R5" s="3">
        <f t="shared" ref="R5:R68" si="4">+($B5-N5)^2/N5</f>
        <v>0.36107137508663173</v>
      </c>
      <c r="S5">
        <f t="shared" ref="S5:S68" si="5">+($C5-O5)^2/O5</f>
        <v>0.23563957230217636</v>
      </c>
      <c r="T5">
        <f t="shared" ref="T5:T68" si="6">+($D5-P5)^2/P5</f>
        <v>0.25007303170601825</v>
      </c>
      <c r="U5">
        <f t="shared" ref="U5:U68" si="7">+($E5-Q5)^2/Q5</f>
        <v>6.4509372114479087</v>
      </c>
      <c r="V5" s="3">
        <f>+($A5+AD$1)/(($A5+1)*(1+AD$2))*V4</f>
        <v>3.0355815699293962</v>
      </c>
      <c r="W5">
        <f>+($A5+AE$1)/(($A5+1)*(1+AE$2))*W4</f>
        <v>7.4430289418150801</v>
      </c>
      <c r="X5">
        <f>+($A5+AF$1)/(($A5+1)*(1+AF$2))*X4</f>
        <v>3.2840680412062295</v>
      </c>
      <c r="Y5" s="4" t="e">
        <f>+($A5+AG$1)/(($A5+1)*(1+AG$2))*Y4</f>
        <v>#DIV/0!</v>
      </c>
      <c r="Z5">
        <f t="shared" ref="Z5:Z68" si="8">+($B5-V5)^2/V5</f>
        <v>1.2712357350656895</v>
      </c>
      <c r="AA5">
        <f t="shared" ref="AA5:AA68" si="9">+($C5-W5)^2/W5</f>
        <v>0.87841939666042834</v>
      </c>
      <c r="AB5">
        <f t="shared" ref="AB5:AB68" si="10">+($D5-X5)^2/X5</f>
        <v>0.15607428445179949</v>
      </c>
      <c r="AC5" s="4" t="e">
        <f t="shared" ref="AC5:AC68" si="11">+($E5-Y5)^2/Y5</f>
        <v>#DIV/0!</v>
      </c>
    </row>
    <row r="6" spans="1:33">
      <c r="A6">
        <f t="shared" ref="A6:A69" si="12">1+A5</f>
        <v>2</v>
      </c>
      <c r="B6" s="3">
        <f>+COUNTIF(desglose!F:F,'pruebas de bondad de ajuste'!$A6)</f>
        <v>8</v>
      </c>
      <c r="C6">
        <f>+COUNTIF(desglose!G:G,'pruebas de bondad de ajuste'!$A6)</f>
        <v>2</v>
      </c>
      <c r="D6">
        <f>+COUNTIF(desglose!Q:Q,'pruebas de bondad de ajuste'!$A6)/'estadísticos descriptivos'!D$2</f>
        <v>0.27272727272727271</v>
      </c>
      <c r="E6" s="4">
        <f>+COUNTIF(desglose!R:R,'pruebas de bondad de ajuste'!$A6)/'estadísticos descriptivos'!E$2</f>
        <v>0.13636363636363635</v>
      </c>
      <c r="F6" s="3">
        <f>+_xlfn.POISSON.DIST($A6,'estadísticos descriptivos'!B$6,0)*'estadísticos descriptivos'!B$2</f>
        <v>8.3856701134677891</v>
      </c>
      <c r="G6">
        <f>+_xlfn.POISSON.DIST($A6,'estadísticos descriptivos'!C$6,0)*'estadísticos descriptivos'!C$2</f>
        <v>4.2172370722021126</v>
      </c>
      <c r="H6">
        <f>+_xlfn.POISSON.DIST($A6,'estadísticos descriptivos'!D$6,0)*'estadísticos descriptivos'!D$2</f>
        <v>5.8540229239638748</v>
      </c>
      <c r="I6">
        <f>+_xlfn.POISSON.DIST($A6,'estadísticos descriptivos'!E$6,0)*'estadísticos descriptivos'!E$2</f>
        <v>1.8968016396593763</v>
      </c>
      <c r="J6">
        <f t="shared" si="0"/>
        <v>1.7737573075212135E-2</v>
      </c>
      <c r="K6">
        <f t="shared" si="1"/>
        <v>1.1657253671490508</v>
      </c>
      <c r="L6">
        <f t="shared" si="2"/>
        <v>5.321274199148462</v>
      </c>
      <c r="M6" s="4">
        <f t="shared" si="3"/>
        <v>1.6338777332586176</v>
      </c>
      <c r="N6">
        <f>BINOMDIST($A6,90,'estadísticos descriptivos'!B$6/90,0)*'estadísticos descriptivos'!B$2</f>
        <v>8.4658651903991142</v>
      </c>
      <c r="O6">
        <f>BINOMDIST($A6,90,'estadísticos descriptivos'!C$6/90,0)*'estadísticos descriptivos'!C$2</f>
        <v>4.2261007437605791</v>
      </c>
      <c r="P6">
        <f>BINOMDIST($A6,90,'estadísticos descriptivos'!D$6/90,0)*'estadísticos descriptivos'!D$2</f>
        <v>5.9175410465540557</v>
      </c>
      <c r="Q6">
        <f>BINOMDIST($A6,90,'estadísticos descriptivos'!E$6/90,0)*'estadísticos descriptivos'!E$2</f>
        <v>1.8955220909751762</v>
      </c>
      <c r="R6" s="3">
        <f t="shared" si="4"/>
        <v>2.5635935695235337E-2</v>
      </c>
      <c r="S6">
        <f t="shared" si="5"/>
        <v>1.1725997135036941</v>
      </c>
      <c r="T6">
        <f t="shared" si="6"/>
        <v>5.3846559390981819</v>
      </c>
      <c r="U6">
        <f t="shared" si="7"/>
        <v>1.6326048022153006</v>
      </c>
      <c r="V6" s="3">
        <f t="shared" ref="V6:V69" si="13">+($A6+AD$1)/(($A6+1)*(1+AD$2))*V5</f>
        <v>2.6465470339465353</v>
      </c>
      <c r="W6">
        <f t="shared" ref="W6:W69" si="14">+($A6+AE$1)/(($A6+1)*(1+AE$2))*W5</f>
        <v>2.8347612620501454</v>
      </c>
      <c r="X6">
        <f t="shared" ref="X6:X69" si="15">+($A6+AF$1)/(($A6+1)*(1+AF$2))*X5</f>
        <v>2.3809919105892834</v>
      </c>
      <c r="Y6" s="4" t="e">
        <f t="shared" ref="Y6:Y69" si="16">+($A6+AG$1)/(($A6+1)*(1+AG$2))*Y5</f>
        <v>#DIV/0!</v>
      </c>
      <c r="Z6">
        <f t="shared" si="8"/>
        <v>10.82900031329109</v>
      </c>
      <c r="AA6">
        <f t="shared" si="9"/>
        <v>0.24581483243340058</v>
      </c>
      <c r="AB6">
        <f t="shared" si="10"/>
        <v>1.8667765159098644</v>
      </c>
      <c r="AC6" s="4" t="e">
        <f t="shared" si="11"/>
        <v>#DIV/0!</v>
      </c>
    </row>
    <row r="7" spans="1:33">
      <c r="A7">
        <f t="shared" si="12"/>
        <v>3</v>
      </c>
      <c r="B7" s="3">
        <f>+COUNTIF(desglose!F:F,'pruebas de bondad de ajuste'!$A7)</f>
        <v>10</v>
      </c>
      <c r="C7">
        <f>+COUNTIF(desglose!G:G,'pruebas de bondad de ajuste'!$A7)</f>
        <v>2</v>
      </c>
      <c r="D7">
        <f>+COUNTIF(desglose!Q:Q,'pruebas de bondad de ajuste'!$A7)/'estadísticos descriptivos'!D$2</f>
        <v>0.13636363636363635</v>
      </c>
      <c r="E7" s="4">
        <f>+COUNTIF(desglose!R:R,'pruebas de bondad de ajuste'!$A7)/'estadísticos descriptivos'!E$2</f>
        <v>0</v>
      </c>
      <c r="F7" s="3">
        <f>+_xlfn.POISSON.DIST($A7,'estadísticos descriptivos'!B$6,0)*'estadísticos descriptivos'!B$2</f>
        <v>7.115114035669639</v>
      </c>
      <c r="G7">
        <f>+_xlfn.POISSON.DIST($A7,'estadísticos descriptivos'!C$6,0)*'estadísticos descriptivos'!C$2</f>
        <v>1.0223605023520275</v>
      </c>
      <c r="H7">
        <f>+_xlfn.POISSON.DIST($A7,'estadísticos descriptivos'!D$6,0)*'estadísticos descriptivos'!D$2</f>
        <v>4.4348658514877846</v>
      </c>
      <c r="I7">
        <f>+_xlfn.POISSON.DIST($A7,'estadísticos descriptivos'!E$6,0)*'estadísticos descriptivos'!E$2</f>
        <v>0.34487302539261389</v>
      </c>
      <c r="J7">
        <f t="shared" si="0"/>
        <v>1.1697025494556306</v>
      </c>
      <c r="K7">
        <f t="shared" si="1"/>
        <v>0.93487471900814745</v>
      </c>
      <c r="L7">
        <f t="shared" si="2"/>
        <v>4.1663314995714247</v>
      </c>
      <c r="M7" s="4">
        <f t="shared" si="3"/>
        <v>0.34487302539261389</v>
      </c>
      <c r="N7">
        <f>BINOMDIST($A7,90,'estadísticos descriptivos'!B$6/90,0)*'estadísticos descriptivos'!B$2</f>
        <v>7.2279597467579437</v>
      </c>
      <c r="O7">
        <f>BINOMDIST($A7,90,'estadísticos descriptivos'!C$6/90,0)*'estadísticos descriptivos'!C$2</f>
        <v>1.0099032327248634</v>
      </c>
      <c r="P7">
        <f>BINOMDIST($A7,90,'estadísticos descriptivos'!D$6/90,0)*'estadísticos descriptivos'!D$2</f>
        <v>4.4969223842552424</v>
      </c>
      <c r="Q7">
        <f>BINOMDIST($A7,90,'estadísticos descriptivos'!E$6/90,0)*'estadísticos descriptivos'!E$2</f>
        <v>0.3390364715565356</v>
      </c>
      <c r="R7" s="3">
        <f t="shared" si="4"/>
        <v>1.0631225732878475</v>
      </c>
      <c r="S7">
        <f t="shared" si="5"/>
        <v>0.97067875099647816</v>
      </c>
      <c r="T7">
        <f t="shared" si="6"/>
        <v>4.2283301709604872</v>
      </c>
      <c r="U7">
        <f t="shared" si="7"/>
        <v>0.3390364715565356</v>
      </c>
      <c r="V7" s="3">
        <f t="shared" si="13"/>
        <v>1.6455316771063269</v>
      </c>
      <c r="W7">
        <f t="shared" si="14"/>
        <v>1.0409948653700896</v>
      </c>
      <c r="X7">
        <f t="shared" si="15"/>
        <v>1.5078998002326109</v>
      </c>
      <c r="Y7" s="4" t="e">
        <f t="shared" si="16"/>
        <v>#DIV/0!</v>
      </c>
      <c r="Z7">
        <f t="shared" si="8"/>
        <v>42.416163680891479</v>
      </c>
      <c r="AA7">
        <f t="shared" si="9"/>
        <v>0.88347299188605366</v>
      </c>
      <c r="AB7">
        <f t="shared" si="10"/>
        <v>1.2475042761529911</v>
      </c>
      <c r="AC7" s="4" t="e">
        <f t="shared" si="11"/>
        <v>#DIV/0!</v>
      </c>
    </row>
    <row r="8" spans="1:33">
      <c r="A8">
        <f t="shared" si="12"/>
        <v>4</v>
      </c>
      <c r="B8" s="3">
        <f>+COUNTIF(desglose!F:F,'pruebas de bondad de ajuste'!$A8)</f>
        <v>3</v>
      </c>
      <c r="C8">
        <f>+COUNTIF(desglose!G:G,'pruebas de bondad de ajuste'!$A8)</f>
        <v>1</v>
      </c>
      <c r="D8">
        <f>+COUNTIF(desglose!Q:Q,'pruebas de bondad de ajuste'!$A8)/'estadísticos descriptivos'!D$2</f>
        <v>0.13636363636363635</v>
      </c>
      <c r="E8" s="4">
        <f>+COUNTIF(desglose!R:R,'pruebas de bondad de ajuste'!$A8)/'estadísticos descriptivos'!E$2</f>
        <v>0</v>
      </c>
      <c r="F8" s="3">
        <f>+_xlfn.POISSON.DIST($A8,'estadísticos descriptivos'!B$6,0)*'estadísticos descriptivos'!B$2</f>
        <v>4.5277998408806805</v>
      </c>
      <c r="G8">
        <f>+_xlfn.POISSON.DIST($A8,'estadísticos descriptivos'!C$6,0)*'estadísticos descriptivos'!C$2</f>
        <v>0.18588372770036862</v>
      </c>
      <c r="H8">
        <f>+_xlfn.POISSON.DIST($A8,'estadísticos descriptivos'!D$6,0)*'estadísticos descriptivos'!D$2</f>
        <v>2.5198101428907864</v>
      </c>
      <c r="I8">
        <f>+_xlfn.POISSON.DIST($A8,'estadísticos descriptivos'!E$6,0)*'estadísticos descriptivos'!E$2</f>
        <v>4.7028139826265525E-2</v>
      </c>
      <c r="J8">
        <f t="shared" si="0"/>
        <v>0.51552021640184176</v>
      </c>
      <c r="K8">
        <f t="shared" si="1"/>
        <v>3.5655907756025336</v>
      </c>
      <c r="L8">
        <f t="shared" si="2"/>
        <v>2.2544624107907221</v>
      </c>
      <c r="M8" s="4">
        <f t="shared" si="3"/>
        <v>4.7028139826265525E-2</v>
      </c>
      <c r="N8">
        <f>BINOMDIST($A8,90,'estadísticos descriptivos'!B$6/90,0)*'estadísticos descriptivos'!B$2</f>
        <v>4.5757042471679714</v>
      </c>
      <c r="O8">
        <f>BINOMDIST($A8,90,'estadísticos descriptivos'!C$6/90,0)*'estadísticos descriptivos'!C$2</f>
        <v>0.17894415732599436</v>
      </c>
      <c r="P8">
        <f>BINOMDIST($A8,90,'estadísticos descriptivos'!D$6/90,0)*'estadísticos descriptivos'!D$2</f>
        <v>2.5338876128899366</v>
      </c>
      <c r="Q8">
        <f>BINOMDIST($A8,90,'estadísticos descriptivos'!E$6/90,0)*'estadísticos descriptivos'!E$2</f>
        <v>4.496367839240635E-2</v>
      </c>
      <c r="R8" s="3">
        <f t="shared" si="4"/>
        <v>0.54261458792488249</v>
      </c>
      <c r="S8">
        <f t="shared" si="5"/>
        <v>3.7672797305195589</v>
      </c>
      <c r="T8">
        <f t="shared" si="6"/>
        <v>2.2684988824199137</v>
      </c>
      <c r="U8">
        <f t="shared" si="7"/>
        <v>4.496367839240635E-2</v>
      </c>
      <c r="V8" s="3">
        <f t="shared" si="13"/>
        <v>0.77622973547951302</v>
      </c>
      <c r="W8">
        <f t="shared" si="14"/>
        <v>0.37376198419794993</v>
      </c>
      <c r="X8">
        <f t="shared" si="15"/>
        <v>0.87199442326409959</v>
      </c>
      <c r="Y8" s="4" t="e">
        <f t="shared" si="16"/>
        <v>#DIV/0!</v>
      </c>
      <c r="Z8">
        <f t="shared" si="8"/>
        <v>6.3707353162793554</v>
      </c>
      <c r="AA8">
        <f t="shared" si="9"/>
        <v>1.0492614792733641</v>
      </c>
      <c r="AB8">
        <f t="shared" si="10"/>
        <v>0.62059187558805828</v>
      </c>
      <c r="AC8" s="4" t="e">
        <f t="shared" si="11"/>
        <v>#DIV/0!</v>
      </c>
    </row>
    <row r="9" spans="1:33">
      <c r="A9">
        <f t="shared" si="12"/>
        <v>5</v>
      </c>
      <c r="B9" s="3">
        <f>+COUNTIF(desglose!F:F,'pruebas de bondad de ajuste'!$A9)</f>
        <v>3</v>
      </c>
      <c r="C9">
        <f>+COUNTIF(desglose!G:G,'pruebas de bondad de ajuste'!$A9)</f>
        <v>0</v>
      </c>
      <c r="D9">
        <f>+COUNTIF(desglose!Q:Q,'pruebas de bondad de ajuste'!$A9)/'estadísticos descriptivos'!D$2</f>
        <v>0</v>
      </c>
      <c r="E9" s="4">
        <f>+COUNTIF(desglose!R:R,'pruebas de bondad de ajuste'!$A9)/'estadísticos descriptivos'!E$2</f>
        <v>0</v>
      </c>
      <c r="F9" s="3">
        <f>+_xlfn.POISSON.DIST($A9,'estadísticos descriptivos'!B$6,0)*'estadísticos descriptivos'!B$2</f>
        <v>2.3050617371756181</v>
      </c>
      <c r="G9">
        <f>+_xlfn.POISSON.DIST($A9,'estadísticos descriptivos'!C$6,0)*'estadísticos descriptivos'!C$2</f>
        <v>2.7037633120053625E-2</v>
      </c>
      <c r="H9">
        <f>+_xlfn.POISSON.DIST($A9,'estadísticos descriptivos'!D$6,0)*'estadísticos descriptivos'!D$2</f>
        <v>1.1453682467685395</v>
      </c>
      <c r="I9">
        <f>+_xlfn.POISSON.DIST($A9,'estadísticos descriptivos'!E$6,0)*'estadísticos descriptivos'!E$2</f>
        <v>5.1303425265016933E-3</v>
      </c>
      <c r="J9">
        <f t="shared" si="0"/>
        <v>0.20951247480647217</v>
      </c>
      <c r="K9">
        <f t="shared" si="1"/>
        <v>2.7037633120053625E-2</v>
      </c>
      <c r="L9">
        <f t="shared" si="2"/>
        <v>1.1453682467685395</v>
      </c>
      <c r="M9" s="4">
        <f t="shared" si="3"/>
        <v>5.1303425265016933E-3</v>
      </c>
      <c r="N9">
        <f>BINOMDIST($A9,90,'estadísticos descriptivos'!B$6/90,0)*'estadísticos descriptivos'!B$2</f>
        <v>2.2907059931768132</v>
      </c>
      <c r="O9">
        <f>BINOMDIST($A9,90,'estadísticos descriptivos'!C$6/90,0)*'estadísticos descriptivos'!C$2</f>
        <v>2.5074048928774784E-2</v>
      </c>
      <c r="P9">
        <f>BINOMDIST($A9,90,'estadísticos descriptivos'!D$6/90,0)*'estadísticos descriptivos'!D$2</f>
        <v>1.1290898171426662</v>
      </c>
      <c r="Q9">
        <f>BINOMDIST($A9,90,'estadísticos descriptivos'!E$6/90,0)*'estadísticos descriptivos'!E$2</f>
        <v>4.7157028557889653E-3</v>
      </c>
      <c r="R9" s="3">
        <f t="shared" si="4"/>
        <v>0.21962573530336862</v>
      </c>
      <c r="S9">
        <f t="shared" si="5"/>
        <v>2.5074048928774784E-2</v>
      </c>
      <c r="T9">
        <f t="shared" si="6"/>
        <v>1.1290898171426662</v>
      </c>
      <c r="U9">
        <f t="shared" si="7"/>
        <v>4.7157028557889653E-3</v>
      </c>
      <c r="V9" s="3">
        <f t="shared" si="13"/>
        <v>0.28851619700156389</v>
      </c>
      <c r="W9">
        <f t="shared" si="14"/>
        <v>0.1321579456087488</v>
      </c>
      <c r="X9">
        <f t="shared" si="15"/>
        <v>0.47227378188194169</v>
      </c>
      <c r="Y9" s="4" t="e">
        <f t="shared" si="16"/>
        <v>#DIV/0!</v>
      </c>
      <c r="Z9">
        <f t="shared" si="8"/>
        <v>25.482605449298255</v>
      </c>
      <c r="AA9">
        <f t="shared" si="9"/>
        <v>0.1321579456087488</v>
      </c>
      <c r="AB9">
        <f t="shared" si="10"/>
        <v>0.47227378188194169</v>
      </c>
      <c r="AC9" s="4" t="e">
        <f t="shared" si="11"/>
        <v>#DIV/0!</v>
      </c>
    </row>
    <row r="10" spans="1:33">
      <c r="A10">
        <f t="shared" si="12"/>
        <v>6</v>
      </c>
      <c r="B10" s="3">
        <f>+COUNTIF(desglose!F:F,'pruebas de bondad de ajuste'!$A10)</f>
        <v>1</v>
      </c>
      <c r="C10">
        <f>+COUNTIF(desglose!G:G,'pruebas de bondad de ajuste'!$A10)</f>
        <v>0</v>
      </c>
      <c r="D10">
        <f>+COUNTIF(desglose!Q:Q,'pruebas de bondad de ajuste'!$A10)/'estadísticos descriptivos'!D$2</f>
        <v>4.5454545454545456E-2</v>
      </c>
      <c r="E10" s="4">
        <f>+COUNTIF(desglose!R:R,'pruebas de bondad de ajuste'!$A10)/'estadísticos descriptivos'!E$2</f>
        <v>0</v>
      </c>
      <c r="F10" s="3">
        <f>+_xlfn.POISSON.DIST($A10,'estadísticos descriptivos'!B$6,0)*'estadísticos descriptivos'!B$2</f>
        <v>0.97790497940783883</v>
      </c>
      <c r="G10">
        <f>+_xlfn.POISSON.DIST($A10,'estadísticos descriptivos'!C$6,0)*'estadísticos descriptivos'!C$2</f>
        <v>3.2772888630368019E-3</v>
      </c>
      <c r="H10">
        <f>+_xlfn.POISSON.DIST($A10,'estadísticos descriptivos'!D$6,0)*'estadísticos descriptivos'!D$2</f>
        <v>0.43385160862444705</v>
      </c>
      <c r="I10">
        <f>+_xlfn.POISSON.DIST($A10,'estadísticos descriptivos'!E$6,0)*'estadísticos descriptivos'!E$2</f>
        <v>4.6639477513651755E-4</v>
      </c>
      <c r="J10">
        <f t="shared" si="0"/>
        <v>4.9922021591877481E-4</v>
      </c>
      <c r="K10">
        <f t="shared" si="1"/>
        <v>3.2772888630368023E-3</v>
      </c>
      <c r="L10">
        <f t="shared" si="2"/>
        <v>0.34770478126678123</v>
      </c>
      <c r="M10" s="4">
        <f t="shared" si="3"/>
        <v>4.6639477513651755E-4</v>
      </c>
      <c r="N10">
        <f>BINOMDIST($A10,90,'estadísticos descriptivos'!B$6/90,0)*'estadísticos descriptivos'!B$2</f>
        <v>0.94453920023576221</v>
      </c>
      <c r="O10">
        <f>BINOMDIST($A10,90,'estadísticos descriptivos'!C$6/90,0)*'estadísticos descriptivos'!C$2</f>
        <v>2.8938142008769229E-3</v>
      </c>
      <c r="P10">
        <f>BINOMDIST($A10,90,'estadísticos descriptivos'!D$6/90,0)*'estadísticos descriptivos'!D$2</f>
        <v>0.4143896133727405</v>
      </c>
      <c r="Q10">
        <f>BINOMDIST($A10,90,'estadísticos descriptivos'!E$6/90,0)*'estadísticos descriptivos'!E$2</f>
        <v>4.0735238083542877E-4</v>
      </c>
      <c r="R10" s="3">
        <f t="shared" si="4"/>
        <v>3.2565088984354666E-3</v>
      </c>
      <c r="S10">
        <f t="shared" si="5"/>
        <v>2.8938142008769225E-3</v>
      </c>
      <c r="T10">
        <f t="shared" si="6"/>
        <v>0.32846644787250118</v>
      </c>
      <c r="U10">
        <f t="shared" si="7"/>
        <v>4.0735238083542877E-4</v>
      </c>
      <c r="V10" s="3">
        <f t="shared" si="13"/>
        <v>8.6623757927323533E-2</v>
      </c>
      <c r="W10">
        <f t="shared" si="14"/>
        <v>4.6214630877263081E-2</v>
      </c>
      <c r="X10">
        <f t="shared" si="15"/>
        <v>0.24341002415193011</v>
      </c>
      <c r="Y10" s="4" t="e">
        <f t="shared" si="16"/>
        <v>#DIV/0!</v>
      </c>
      <c r="Z10">
        <f t="shared" si="8"/>
        <v>9.6308008281369766</v>
      </c>
      <c r="AA10">
        <f t="shared" si="9"/>
        <v>4.6214630877263088E-2</v>
      </c>
      <c r="AB10">
        <f t="shared" si="10"/>
        <v>0.16098914448096688</v>
      </c>
      <c r="AC10" s="4" t="e">
        <f t="shared" si="11"/>
        <v>#DIV/0!</v>
      </c>
    </row>
    <row r="11" spans="1:33">
      <c r="A11">
        <f t="shared" si="12"/>
        <v>7</v>
      </c>
      <c r="B11" s="3">
        <f>+COUNTIF(desglose!F:F,'pruebas de bondad de ajuste'!$A11)</f>
        <v>0</v>
      </c>
      <c r="C11">
        <f>+COUNTIF(desglose!G:G,'pruebas de bondad de ajuste'!$A11)</f>
        <v>0</v>
      </c>
      <c r="D11">
        <f>+COUNTIF(desglose!Q:Q,'pruebas de bondad de ajuste'!$A11)/'estadísticos descriptivos'!D$2</f>
        <v>4.5454545454545456E-2</v>
      </c>
      <c r="E11" s="4">
        <f>+COUNTIF(desglose!R:R,'pruebas de bondad de ajuste'!$A11)/'estadísticos descriptivos'!E$2</f>
        <v>0</v>
      </c>
      <c r="F11" s="3">
        <f>+_xlfn.POISSON.DIST($A11,'estadísticos descriptivos'!B$6,0)*'estadísticos descriptivos'!B$2</f>
        <v>0.35560181069375968</v>
      </c>
      <c r="G11">
        <f>+_xlfn.POISSON.DIST($A11,'estadísticos descriptivos'!C$6,0)*'estadísticos descriptivos'!C$2</f>
        <v>3.4049754421161624E-4</v>
      </c>
      <c r="H11">
        <f>+_xlfn.POISSON.DIST($A11,'estadísticos descriptivos'!D$6,0)*'estadísticos descriptivos'!D$2</f>
        <v>0.14086091189105429</v>
      </c>
      <c r="I11">
        <f>+_xlfn.POISSON.DIST($A11,'estadísticos descriptivos'!E$6,0)*'estadísticos descriptivos'!E$2</f>
        <v>3.6342450010637768E-5</v>
      </c>
      <c r="J11">
        <f t="shared" si="0"/>
        <v>0.35560181069375962</v>
      </c>
      <c r="K11">
        <f t="shared" si="1"/>
        <v>3.4049754421161624E-4</v>
      </c>
      <c r="L11">
        <f t="shared" si="2"/>
        <v>6.4619592720352587E-2</v>
      </c>
      <c r="M11" s="4">
        <f t="shared" si="3"/>
        <v>3.6342450010637768E-5</v>
      </c>
      <c r="N11">
        <f>BINOMDIST($A11,90,'estadísticos descriptivos'!B$6/90,0)*'estadísticos descriptivos'!B$2</f>
        <v>0.32990142544617063</v>
      </c>
      <c r="O11">
        <f>BINOMDIST($A11,90,'estadísticos descriptivos'!C$6/90,0)*'estadísticos descriptivos'!C$2</f>
        <v>2.8289833328328358E-4</v>
      </c>
      <c r="P11">
        <f>BINOMDIST($A11,90,'estadísticos descriptivos'!D$6/90,0)*'estadísticos descriptivos'!D$2</f>
        <v>0.12882578654074822</v>
      </c>
      <c r="Q11">
        <f>BINOMDIST($A11,90,'estadísticos descriptivos'!E$6/90,0)*'estadísticos descriptivos'!E$2</f>
        <v>2.9806271768446132E-5</v>
      </c>
      <c r="R11" s="3">
        <f t="shared" si="4"/>
        <v>0.32990142544617063</v>
      </c>
      <c r="S11">
        <f t="shared" si="5"/>
        <v>2.8289833328328358E-4</v>
      </c>
      <c r="T11">
        <f t="shared" si="6"/>
        <v>5.3954755696796648E-2</v>
      </c>
      <c r="U11">
        <f t="shared" si="7"/>
        <v>2.9806271768446132E-5</v>
      </c>
      <c r="V11" s="3">
        <f t="shared" si="13"/>
        <v>2.1365838162919249E-2</v>
      </c>
      <c r="W11">
        <f t="shared" si="14"/>
        <v>1.6025863027893023E-2</v>
      </c>
      <c r="X11">
        <f t="shared" si="15"/>
        <v>0.12067028953497691</v>
      </c>
      <c r="Y11" s="4" t="e">
        <f t="shared" si="16"/>
        <v>#DIV/0!</v>
      </c>
      <c r="Z11">
        <f t="shared" si="8"/>
        <v>2.1365838162919249E-2</v>
      </c>
      <c r="AA11">
        <f t="shared" si="9"/>
        <v>1.6025863027893023E-2</v>
      </c>
      <c r="AB11">
        <f t="shared" si="10"/>
        <v>4.6883190380786567E-2</v>
      </c>
      <c r="AC11" s="4" t="e">
        <f t="shared" si="11"/>
        <v>#DIV/0!</v>
      </c>
    </row>
    <row r="12" spans="1:33">
      <c r="A12">
        <f t="shared" si="12"/>
        <v>8</v>
      </c>
      <c r="B12" s="3">
        <f>+COUNTIF(desglose!F:F,'pruebas de bondad de ajuste'!$A12)</f>
        <v>0</v>
      </c>
      <c r="C12">
        <f>+COUNTIF(desglose!G:G,'pruebas de bondad de ajuste'!$A12)</f>
        <v>0</v>
      </c>
      <c r="D12">
        <f>+COUNTIF(desglose!Q:Q,'pruebas de bondad de ajuste'!$A12)/'estadísticos descriptivos'!D$2</f>
        <v>0</v>
      </c>
      <c r="E12" s="4">
        <f>+COUNTIF(desglose!R:R,'pruebas de bondad de ajuste'!$A12)/'estadísticos descriptivos'!E$2</f>
        <v>0</v>
      </c>
      <c r="F12" s="3">
        <f>+_xlfn.POISSON.DIST($A12,'estadísticos descriptivos'!B$6,0)*'estadísticos descriptivos'!B$2</f>
        <v>0.11314603067528708</v>
      </c>
      <c r="G12">
        <f>+_xlfn.POISSON.DIST($A12,'estadísticos descriptivos'!C$6,0)*'estadísticos descriptivos'!C$2</f>
        <v>3.0954322201055911E-5</v>
      </c>
      <c r="H12">
        <f>+_xlfn.POISSON.DIST($A12,'estadísticos descriptivos'!D$6,0)*'estadísticos descriptivos'!D$2</f>
        <v>4.0017304514504019E-2</v>
      </c>
      <c r="I12">
        <f>+_xlfn.POISSON.DIST($A12,'estadísticos descriptivos'!E$6,0)*'estadísticos descriptivos'!E$2</f>
        <v>2.4778943189071121E-6</v>
      </c>
      <c r="J12">
        <f t="shared" si="0"/>
        <v>0.11314603067528708</v>
      </c>
      <c r="K12">
        <f t="shared" si="1"/>
        <v>3.0954322201055911E-5</v>
      </c>
      <c r="L12">
        <f t="shared" si="2"/>
        <v>4.0017304514504019E-2</v>
      </c>
      <c r="M12" s="4">
        <f t="shared" si="3"/>
        <v>2.4778943189071121E-6</v>
      </c>
      <c r="N12">
        <f>BINOMDIST($A12,90,'estadísticos descriptivos'!B$6/90,0)*'estadísticos descriptivos'!B$2</f>
        <v>9.9622000095750951E-2</v>
      </c>
      <c r="O12">
        <f>BINOMDIST($A12,90,'estadísticos descriptivos'!C$6/90,0)*'estadísticos descriptivos'!C$2</f>
        <v>2.39109589231289E-5</v>
      </c>
      <c r="P12">
        <f>BINOMDIST($A12,90,'estadísticos descriptivos'!D$6/90,0)*'estadísticos descriptivos'!D$2</f>
        <v>3.4626101952338437E-2</v>
      </c>
      <c r="Q12">
        <f>BINOMDIST($A12,90,'estadísticos descriptivos'!E$6/90,0)*'estadísticos descriptivos'!E$2</f>
        <v>1.8856101804733403E-6</v>
      </c>
      <c r="R12" s="3">
        <f t="shared" si="4"/>
        <v>9.9622000095750965E-2</v>
      </c>
      <c r="S12">
        <f t="shared" si="5"/>
        <v>2.3910958923128897E-5</v>
      </c>
      <c r="T12">
        <f t="shared" si="6"/>
        <v>3.4626101952338437E-2</v>
      </c>
      <c r="U12">
        <f t="shared" si="7"/>
        <v>1.8856101804733403E-6</v>
      </c>
      <c r="V12" s="3">
        <f t="shared" si="13"/>
        <v>4.3793906887636437E-3</v>
      </c>
      <c r="W12">
        <f t="shared" si="14"/>
        <v>5.5208714737239126E-3</v>
      </c>
      <c r="X12">
        <f t="shared" si="15"/>
        <v>5.7977825881262705E-2</v>
      </c>
      <c r="Y12" s="4" t="e">
        <f t="shared" si="16"/>
        <v>#DIV/0!</v>
      </c>
      <c r="Z12">
        <f t="shared" si="8"/>
        <v>4.3793906887636437E-3</v>
      </c>
      <c r="AA12">
        <f t="shared" si="9"/>
        <v>5.5208714737239126E-3</v>
      </c>
      <c r="AB12">
        <f t="shared" si="10"/>
        <v>5.7977825881262705E-2</v>
      </c>
      <c r="AC12" s="4" t="e">
        <f t="shared" si="11"/>
        <v>#DIV/0!</v>
      </c>
    </row>
    <row r="13" spans="1:33">
      <c r="A13">
        <f t="shared" si="12"/>
        <v>9</v>
      </c>
      <c r="B13" s="3">
        <f>+COUNTIF(desglose!F:F,'pruebas de bondad de ajuste'!$A13)</f>
        <v>0</v>
      </c>
      <c r="C13">
        <f>+COUNTIF(desglose!G:G,'pruebas de bondad de ajuste'!$A13)</f>
        <v>0</v>
      </c>
      <c r="D13">
        <f>+COUNTIF(desglose!Q:Q,'pruebas de bondad de ajuste'!$A13)/'estadísticos descriptivos'!D$2</f>
        <v>0</v>
      </c>
      <c r="E13" s="4">
        <f>+COUNTIF(desglose!R:R,'pruebas de bondad de ajuste'!$A13)/'estadísticos descriptivos'!E$2</f>
        <v>0</v>
      </c>
      <c r="F13" s="3">
        <f>+_xlfn.POISSON.DIST($A13,'estadísticos descriptivos'!B$6,0)*'estadísticos descriptivos'!B$2</f>
        <v>3.2000897564727647E-2</v>
      </c>
      <c r="G13">
        <f>+_xlfn.POISSON.DIST($A13,'estadísticos descriptivos'!C$6,0)*'estadísticos descriptivos'!C$2</f>
        <v>2.5013593697822991E-6</v>
      </c>
      <c r="H13">
        <f>+_xlfn.POISSON.DIST($A13,'estadísticos descriptivos'!D$6,0)*'estadísticos descriptivos'!D$2</f>
        <v>1.0105379927905051E-2</v>
      </c>
      <c r="I13">
        <f>+_xlfn.POISSON.DIST($A13,'estadísticos descriptivos'!E$6,0)*'estadísticos descriptivos'!E$2</f>
        <v>1.5017541326709791E-7</v>
      </c>
      <c r="J13">
        <f t="shared" si="0"/>
        <v>3.2000897564727647E-2</v>
      </c>
      <c r="K13">
        <f t="shared" si="1"/>
        <v>2.5013593697822991E-6</v>
      </c>
      <c r="L13">
        <f t="shared" si="2"/>
        <v>1.0105379927905051E-2</v>
      </c>
      <c r="M13" s="4">
        <f t="shared" si="3"/>
        <v>1.5017541326709791E-7</v>
      </c>
      <c r="N13">
        <f>BINOMDIST($A13,90,'estadísticos descriptivos'!B$6/90,0)*'estadísticos descriptivos'!B$2</f>
        <v>2.6418585379977398E-2</v>
      </c>
      <c r="O13">
        <f>BINOMDIST($A13,90,'estadísticos descriptivos'!C$6/90,0)*'estadísticos descriptivos'!C$2</f>
        <v>1.7747894380598066E-6</v>
      </c>
      <c r="P13">
        <f>BINOMDIST($A13,90,'estadísticos descriptivos'!D$6/90,0)*'estadísticos descriptivos'!D$2</f>
        <v>8.1731156018760836E-3</v>
      </c>
      <c r="Q13">
        <f>BINOMDIST($A13,90,'estadísticos descriptivos'!E$6/90,0)*'estadísticos descriptivos'!E$2</f>
        <v>1.0475612113740707E-7</v>
      </c>
      <c r="R13" s="3">
        <f t="shared" si="4"/>
        <v>2.6418585379977398E-2</v>
      </c>
      <c r="S13">
        <f t="shared" si="5"/>
        <v>1.7747894380598066E-6</v>
      </c>
      <c r="T13">
        <f t="shared" si="6"/>
        <v>8.1731156018760836E-3</v>
      </c>
      <c r="U13">
        <f t="shared" si="7"/>
        <v>1.0475612113740707E-7</v>
      </c>
      <c r="V13" s="3">
        <f t="shared" si="13"/>
        <v>7.5162659061789598E-4</v>
      </c>
      <c r="W13">
        <f t="shared" si="14"/>
        <v>1.8918890667373523E-3</v>
      </c>
      <c r="X13">
        <f t="shared" si="15"/>
        <v>2.714738564157991E-2</v>
      </c>
      <c r="Y13" s="4" t="e">
        <f t="shared" si="16"/>
        <v>#DIV/0!</v>
      </c>
      <c r="Z13">
        <f t="shared" si="8"/>
        <v>7.5162659061789598E-4</v>
      </c>
      <c r="AA13">
        <f t="shared" si="9"/>
        <v>1.8918890667373523E-3</v>
      </c>
      <c r="AB13">
        <f t="shared" si="10"/>
        <v>2.714738564157991E-2</v>
      </c>
      <c r="AC13" s="4" t="e">
        <f t="shared" si="11"/>
        <v>#DIV/0!</v>
      </c>
    </row>
    <row r="14" spans="1:33">
      <c r="A14">
        <f t="shared" si="12"/>
        <v>10</v>
      </c>
      <c r="B14" s="3">
        <f>+COUNTIF(desglose!F:F,'pruebas de bondad de ajuste'!$A14)</f>
        <v>0</v>
      </c>
      <c r="C14">
        <f>+COUNTIF(desglose!G:G,'pruebas de bondad de ajuste'!$A14)</f>
        <v>0</v>
      </c>
      <c r="D14">
        <f>+COUNTIF(desglose!Q:Q,'pruebas de bondad de ajuste'!$A14)/'estadísticos descriptivos'!D$2</f>
        <v>0</v>
      </c>
      <c r="E14" s="4">
        <f>+COUNTIF(desglose!R:R,'pruebas de bondad de ajuste'!$A14)/'estadísticos descriptivos'!E$2</f>
        <v>0</v>
      </c>
      <c r="F14" s="3">
        <f>+_xlfn.POISSON.DIST($A14,'estadísticos descriptivos'!B$6,0)*'estadísticos descriptivos'!B$2</f>
        <v>8.145683016476132E-3</v>
      </c>
      <c r="G14">
        <f>+_xlfn.POISSON.DIST($A14,'estadísticos descriptivos'!C$6,0)*'estadísticos descriptivos'!C$2</f>
        <v>1.8191704507507613E-7</v>
      </c>
      <c r="H14">
        <f>+_xlfn.POISSON.DIST($A14,'estadísticos descriptivos'!D$6,0)*'estadísticos descriptivos'!D$2</f>
        <v>2.2966772563420574E-3</v>
      </c>
      <c r="I14">
        <f>+_xlfn.POISSON.DIST($A14,'estadísticos descriptivos'!E$6,0)*'estadísticos descriptivos'!E$2</f>
        <v>8.1913861782053271E-9</v>
      </c>
      <c r="J14">
        <f t="shared" si="0"/>
        <v>8.145683016476132E-3</v>
      </c>
      <c r="K14">
        <f t="shared" si="1"/>
        <v>1.8191704507507611E-7</v>
      </c>
      <c r="L14">
        <f t="shared" si="2"/>
        <v>2.2966772563420574E-3</v>
      </c>
      <c r="M14" s="4">
        <f t="shared" si="3"/>
        <v>8.1913861782053271E-9</v>
      </c>
      <c r="N14">
        <f>BINOMDIST($A14,90,'estadísticos descriptivos'!B$6/90,0)*'estadísticos descriptivos'!B$2</f>
        <v>6.2284149315788781E-3</v>
      </c>
      <c r="O14">
        <f>BINOMDIST($A14,90,'estadísticos descriptivos'!C$6/90,0)*'estadísticos descriptivos'!C$2</f>
        <v>1.1711441505730642E-7</v>
      </c>
      <c r="P14">
        <f>BINOMDIST($A14,90,'estadísticos descriptivos'!D$6/90,0)*'estadísticos descriptivos'!D$2</f>
        <v>1.7150838439170019E-3</v>
      </c>
      <c r="Q14">
        <f>BINOMDIST($A14,90,'estadísticos descriptivos'!E$6/90,0)*'estadísticos descriptivos'!E$2</f>
        <v>5.1739303732500004E-9</v>
      </c>
      <c r="R14" s="3">
        <f t="shared" si="4"/>
        <v>6.2284149315788781E-3</v>
      </c>
      <c r="S14">
        <f t="shared" si="5"/>
        <v>1.1711441505730642E-7</v>
      </c>
      <c r="T14">
        <f t="shared" si="6"/>
        <v>1.7150838439170019E-3</v>
      </c>
      <c r="U14">
        <f t="shared" si="7"/>
        <v>5.1739303732500004E-9</v>
      </c>
      <c r="V14" s="3">
        <f t="shared" si="13"/>
        <v>1.0849509293553912E-4</v>
      </c>
      <c r="W14">
        <f t="shared" si="14"/>
        <v>6.4549707870760291E-4</v>
      </c>
      <c r="X14">
        <f t="shared" si="15"/>
        <v>1.2439831839134522E-2</v>
      </c>
      <c r="Y14" s="4" t="e">
        <f t="shared" si="16"/>
        <v>#DIV/0!</v>
      </c>
      <c r="Z14">
        <f t="shared" si="8"/>
        <v>1.084950929355391E-4</v>
      </c>
      <c r="AA14">
        <f t="shared" si="9"/>
        <v>6.4549707870760291E-4</v>
      </c>
      <c r="AB14">
        <f t="shared" si="10"/>
        <v>1.2439831839134524E-2</v>
      </c>
      <c r="AC14" s="4" t="e">
        <f t="shared" si="11"/>
        <v>#DIV/0!</v>
      </c>
    </row>
    <row r="15" spans="1:33">
      <c r="A15">
        <f t="shared" si="12"/>
        <v>11</v>
      </c>
      <c r="B15" s="3">
        <f>+COUNTIF(desglose!F:F,'pruebas de bondad de ajuste'!$A15)</f>
        <v>0</v>
      </c>
      <c r="C15">
        <f>+COUNTIF(desglose!G:G,'pruebas de bondad de ajuste'!$A15)</f>
        <v>0</v>
      </c>
      <c r="D15">
        <f>+COUNTIF(desglose!Q:Q,'pruebas de bondad de ajuste'!$A15)/'estadísticos descriptivos'!D$2</f>
        <v>0</v>
      </c>
      <c r="E15" s="4">
        <f>+COUNTIF(desglose!R:R,'pruebas de bondad de ajuste'!$A15)/'estadísticos descriptivos'!E$2</f>
        <v>0</v>
      </c>
      <c r="F15" s="3">
        <f>+_xlfn.POISSON.DIST($A15,'estadísticos descriptivos'!B$6,0)*'estadísticos descriptivos'!B$2</f>
        <v>1.8849514418291862E-3</v>
      </c>
      <c r="G15">
        <f>+_xlfn.POISSON.DIST($A15,'estadísticos descriptivos'!C$6,0)*'estadísticos descriptivos'!C$2</f>
        <v>1.2027573228104177E-8</v>
      </c>
      <c r="H15">
        <f>+_xlfn.POISSON.DIST($A15,'estadísticos descriptivos'!D$6,0)*'estadísticos descriptivos'!D$2</f>
        <v>4.7452009428554761E-4</v>
      </c>
      <c r="I15">
        <f>+_xlfn.POISSON.DIST($A15,'estadísticos descriptivos'!E$6,0)*'estadísticos descriptivos'!E$2</f>
        <v>4.0618443858869325E-10</v>
      </c>
      <c r="J15">
        <f t="shared" si="0"/>
        <v>1.8849514418291862E-3</v>
      </c>
      <c r="K15">
        <f t="shared" si="1"/>
        <v>1.2027573228104177E-8</v>
      </c>
      <c r="L15">
        <f t="shared" si="2"/>
        <v>4.7452009428554761E-4</v>
      </c>
      <c r="M15" s="4">
        <f t="shared" si="3"/>
        <v>4.0618443858869325E-10</v>
      </c>
      <c r="N15">
        <f>BINOMDIST($A15,90,'estadísticos descriptivos'!B$6/90,0)*'estadísticos descriptivos'!B$2</f>
        <v>1.3184321911488077E-3</v>
      </c>
      <c r="O15">
        <f>BINOMDIST($A15,90,'estadísticos descriptivos'!C$6/90,0)*'estadísticos descriptivos'!C$2</f>
        <v>6.9388285166336203E-9</v>
      </c>
      <c r="P15">
        <f>BINOMDIST($A15,90,'estadísticos descriptivos'!D$6/90,0)*'estadísticos descriptivos'!D$2</f>
        <v>3.2314344680489844E-4</v>
      </c>
      <c r="Q15">
        <f>BINOMDIST($A15,90,'estadísticos descriptivos'!E$6/90,0)*'estadísticos descriptivos'!E$2</f>
        <v>2.2944258861419216E-10</v>
      </c>
      <c r="R15" s="3">
        <f t="shared" si="4"/>
        <v>1.3184321911488077E-3</v>
      </c>
      <c r="S15">
        <f t="shared" si="5"/>
        <v>6.9388285166336203E-9</v>
      </c>
      <c r="T15">
        <f t="shared" si="6"/>
        <v>3.2314344680489844E-4</v>
      </c>
      <c r="U15">
        <f t="shared" si="7"/>
        <v>2.2944258861419216E-10</v>
      </c>
      <c r="V15" s="3">
        <f t="shared" si="13"/>
        <v>1.319439789478267E-5</v>
      </c>
      <c r="W15">
        <f t="shared" si="14"/>
        <v>2.1943812173289562E-4</v>
      </c>
      <c r="X15">
        <f t="shared" si="15"/>
        <v>5.5966339842323919E-3</v>
      </c>
      <c r="Y15" s="4" t="e">
        <f t="shared" si="16"/>
        <v>#DIV/0!</v>
      </c>
      <c r="Z15">
        <f t="shared" si="8"/>
        <v>1.3194397894782672E-5</v>
      </c>
      <c r="AA15">
        <f t="shared" si="9"/>
        <v>2.1943812173289562E-4</v>
      </c>
      <c r="AB15">
        <f t="shared" si="10"/>
        <v>5.5966339842323911E-3</v>
      </c>
      <c r="AC15" s="4" t="e">
        <f t="shared" si="11"/>
        <v>#DIV/0!</v>
      </c>
    </row>
    <row r="16" spans="1:33">
      <c r="A16">
        <f t="shared" si="12"/>
        <v>12</v>
      </c>
      <c r="B16" s="3">
        <f>+COUNTIF(desglose!F:F,'pruebas de bondad de ajuste'!$A16)</f>
        <v>0</v>
      </c>
      <c r="C16">
        <f>+COUNTIF(desglose!G:G,'pruebas de bondad de ajuste'!$A16)</f>
        <v>0</v>
      </c>
      <c r="D16">
        <f>+COUNTIF(desglose!Q:Q,'pruebas de bondad de ajuste'!$A16)/'estadísticos descriptivos'!D$2</f>
        <v>0</v>
      </c>
      <c r="E16" s="4">
        <f>+COUNTIF(desglose!R:R,'pruebas de bondad de ajuste'!$A16)/'estadísticos descriptivos'!E$2</f>
        <v>0</v>
      </c>
      <c r="F16" s="3">
        <f>+_xlfn.POISSON.DIST($A16,'estadísticos descriptivos'!B$6,0)*'estadísticos descriptivos'!B$2</f>
        <v>3.99838184630434E-4</v>
      </c>
      <c r="G16">
        <f>+_xlfn.POISSON.DIST($A16,'estadísticos descriptivos'!C$6,0)*'estadísticos descriptivos'!C$2</f>
        <v>7.2894383200631817E-10</v>
      </c>
      <c r="H16">
        <f>+_xlfn.POISSON.DIST($A16,'estadísticos descriptivos'!D$6,0)*'estadísticos descriptivos'!D$2</f>
        <v>8.9871229978323597E-5</v>
      </c>
      <c r="I16">
        <f>+_xlfn.POISSON.DIST($A16,'estadísticos descriptivos'!E$6,0)*'estadísticos descriptivos'!E$2</f>
        <v>1.846292902675889E-11</v>
      </c>
      <c r="J16">
        <f t="shared" si="0"/>
        <v>3.9983818463043406E-4</v>
      </c>
      <c r="K16">
        <f t="shared" si="1"/>
        <v>7.2894383200631817E-10</v>
      </c>
      <c r="L16">
        <f t="shared" si="2"/>
        <v>8.9871229978323597E-5</v>
      </c>
      <c r="M16" s="4">
        <f t="shared" si="3"/>
        <v>1.846292902675889E-11</v>
      </c>
      <c r="N16">
        <f>BINOMDIST($A16,90,'estadísticos descriptivos'!B$6/90,0)*'estadísticos descriptivos'!B$2</f>
        <v>2.5263097772186039E-4</v>
      </c>
      <c r="O16">
        <f>BINOMDIST($A16,90,'estadísticos descriptivos'!C$6/90,0)*'estadísticos descriptivos'!C$2</f>
        <v>3.7214355248747837E-10</v>
      </c>
      <c r="P16">
        <f>BINOMDIST($A16,90,'estadísticos descriptivos'!D$6/90,0)*'estadísticos descriptivos'!D$2</f>
        <v>5.5112979917070281E-5</v>
      </c>
      <c r="Q16">
        <f>BINOMDIST($A16,90,'estadísticos descriptivos'!E$6/90,0)*'estadísticos descriptivos'!E$2</f>
        <v>9.2103478153054006E-12</v>
      </c>
      <c r="R16" s="3">
        <f t="shared" si="4"/>
        <v>2.5263097772186039E-4</v>
      </c>
      <c r="S16">
        <f t="shared" si="5"/>
        <v>3.7214355248747837E-10</v>
      </c>
      <c r="T16">
        <f t="shared" si="6"/>
        <v>5.5112979917070281E-5</v>
      </c>
      <c r="U16">
        <f t="shared" si="7"/>
        <v>9.2103478153054006E-12</v>
      </c>
      <c r="V16" s="3">
        <f t="shared" si="13"/>
        <v>1.3507924920201674E-6</v>
      </c>
      <c r="W16">
        <f t="shared" si="14"/>
        <v>7.4368282109551082E-5</v>
      </c>
      <c r="X16">
        <f t="shared" si="15"/>
        <v>2.4784245816781686E-3</v>
      </c>
      <c r="Y16" s="4" t="e">
        <f t="shared" si="16"/>
        <v>#DIV/0!</v>
      </c>
      <c r="Z16">
        <f t="shared" si="8"/>
        <v>1.3507924920201674E-6</v>
      </c>
      <c r="AA16">
        <f t="shared" si="9"/>
        <v>7.4368282109551082E-5</v>
      </c>
      <c r="AB16">
        <f t="shared" si="10"/>
        <v>2.4784245816781686E-3</v>
      </c>
      <c r="AC16" s="4" t="e">
        <f t="shared" si="11"/>
        <v>#DIV/0!</v>
      </c>
    </row>
    <row r="17" spans="1:29">
      <c r="A17">
        <f t="shared" si="12"/>
        <v>13</v>
      </c>
      <c r="B17" s="3">
        <f>+COUNTIF(desglose!F:F,'pruebas de bondad de ajuste'!$A17)</f>
        <v>0</v>
      </c>
      <c r="C17">
        <f>+COUNTIF(desglose!G:G,'pruebas de bondad de ajuste'!$A17)</f>
        <v>0</v>
      </c>
      <c r="D17">
        <f>+COUNTIF(desglose!Q:Q,'pruebas de bondad de ajuste'!$A17)/'estadísticos descriptivos'!D$2</f>
        <v>0</v>
      </c>
      <c r="E17" s="4">
        <f>+COUNTIF(desglose!R:R,'pruebas de bondad de ajuste'!$A17)/'estadísticos descriptivos'!E$2</f>
        <v>0</v>
      </c>
      <c r="F17" s="3">
        <f>+_xlfn.POISSON.DIST($A17,'estadísticos descriptivos'!B$6,0)*'estadísticos descriptivos'!B$2</f>
        <v>7.8289994193371816E-5</v>
      </c>
      <c r="G17">
        <f>+_xlfn.POISSON.DIST($A17,'estadísticos descriptivos'!C$6,0)*'estadísticos descriptivos'!C$2</f>
        <v>4.0780074517835986E-11</v>
      </c>
      <c r="H17">
        <f>+_xlfn.POISSON.DIST($A17,'estadísticos descriptivos'!D$6,0)*'estadísticos descriptivos'!D$2</f>
        <v>1.5711753492713938E-5</v>
      </c>
      <c r="I17">
        <f>+_xlfn.POISSON.DIST($A17,'estadísticos descriptivos'!E$6,0)*'estadísticos descriptivos'!E$2</f>
        <v>7.7466835077310037E-13</v>
      </c>
      <c r="J17">
        <f t="shared" si="0"/>
        <v>7.8289994193371816E-5</v>
      </c>
      <c r="K17">
        <f t="shared" si="1"/>
        <v>4.0780074517835986E-11</v>
      </c>
      <c r="L17">
        <f t="shared" si="2"/>
        <v>1.5711753492713938E-5</v>
      </c>
      <c r="M17" s="4">
        <f t="shared" si="3"/>
        <v>7.7466835077310048E-13</v>
      </c>
      <c r="N17">
        <f>BINOMDIST($A17,90,'estadísticos descriptivos'!B$6/90,0)*'estadísticos descriptivos'!B$2</f>
        <v>4.4118507543942611E-5</v>
      </c>
      <c r="O17">
        <f>BINOMDIST($A17,90,'estadísticos descriptivos'!C$6/90,0)*'estadísticos descriptivos'!C$2</f>
        <v>1.8190316211200713E-11</v>
      </c>
      <c r="P17">
        <f>BINOMDIST($A17,90,'estadísticos descriptivos'!D$6/90,0)*'estadísticos descriptivos'!D$2</f>
        <v>8.566784443067951E-6</v>
      </c>
      <c r="Q17">
        <f>BINOMDIST($A17,90,'estadísticos descriptivos'!E$6/90,0)*'estadísticos descriptivos'!E$2</f>
        <v>3.3696394446239261E-13</v>
      </c>
      <c r="R17" s="3">
        <f t="shared" si="4"/>
        <v>4.4118507543942611E-5</v>
      </c>
      <c r="S17">
        <f t="shared" si="5"/>
        <v>1.8190316211200713E-11</v>
      </c>
      <c r="T17">
        <f t="shared" si="6"/>
        <v>8.566784443067951E-6</v>
      </c>
      <c r="U17">
        <f t="shared" si="7"/>
        <v>3.3696394446239261E-13</v>
      </c>
      <c r="V17" s="3">
        <f t="shared" si="13"/>
        <v>1.1601641165229322E-7</v>
      </c>
      <c r="W17">
        <f t="shared" si="14"/>
        <v>2.5136784349400551E-5</v>
      </c>
      <c r="X17">
        <f t="shared" si="15"/>
        <v>1.0825646507339689E-3</v>
      </c>
      <c r="Y17" s="4" t="e">
        <f t="shared" si="16"/>
        <v>#DIV/0!</v>
      </c>
      <c r="Z17">
        <f t="shared" si="8"/>
        <v>1.1601641165229322E-7</v>
      </c>
      <c r="AA17">
        <f t="shared" si="9"/>
        <v>2.5136784349400551E-5</v>
      </c>
      <c r="AB17">
        <f t="shared" si="10"/>
        <v>1.0825646507339689E-3</v>
      </c>
      <c r="AC17" s="4" t="e">
        <f t="shared" si="11"/>
        <v>#DIV/0!</v>
      </c>
    </row>
    <row r="18" spans="1:29">
      <c r="A18">
        <f t="shared" si="12"/>
        <v>14</v>
      </c>
      <c r="B18" s="3">
        <f>+COUNTIF(desglose!F:F,'pruebas de bondad de ajuste'!$A18)</f>
        <v>0</v>
      </c>
      <c r="C18">
        <f>+COUNTIF(desglose!G:G,'pruebas de bondad de ajuste'!$A18)</f>
        <v>0</v>
      </c>
      <c r="D18">
        <f>+COUNTIF(desglose!Q:Q,'pruebas de bondad de ajuste'!$A18)/'estadísticos descriptivos'!D$2</f>
        <v>0</v>
      </c>
      <c r="E18" s="4">
        <f>+COUNTIF(desglose!R:R,'pruebas de bondad de ajuste'!$A18)/'estadísticos descriptivos'!E$2</f>
        <v>0</v>
      </c>
      <c r="F18" s="3">
        <f>+_xlfn.POISSON.DIST($A18,'estadísticos descriptivos'!B$6,0)*'estadísticos descriptivos'!B$2</f>
        <v>1.4234544398794827E-5</v>
      </c>
      <c r="G18">
        <f>+_xlfn.POISSON.DIST($A18,'estadísticos descriptivos'!C$6,0)*'estadísticos descriptivos'!C$2</f>
        <v>2.1184454294979657E-12</v>
      </c>
      <c r="H18">
        <f>+_xlfn.POISSON.DIST($A18,'estadísticos descriptivos'!D$6,0)*'estadísticos descriptivos'!D$2</f>
        <v>2.5506093332327825E-6</v>
      </c>
      <c r="I18">
        <f>+_xlfn.POISSON.DIST($A18,'estadísticos descriptivos'!E$6,0)*'estadísticos descriptivos'!E$2</f>
        <v>3.018188379635442E-14</v>
      </c>
      <c r="J18">
        <f t="shared" si="0"/>
        <v>1.4234544398794827E-5</v>
      </c>
      <c r="K18">
        <f t="shared" si="1"/>
        <v>2.1184454294979657E-12</v>
      </c>
      <c r="L18">
        <f t="shared" si="2"/>
        <v>2.5506093332327825E-6</v>
      </c>
      <c r="M18" s="4">
        <f t="shared" si="3"/>
        <v>3.018188379635442E-14</v>
      </c>
      <c r="N18">
        <f>BINOMDIST($A18,90,'estadísticos descriptivos'!B$6/90,0)*'estadísticos descriptivos'!B$2</f>
        <v>7.0626301057870378E-6</v>
      </c>
      <c r="O18">
        <f>BINOMDIST($A18,90,'estadísticos descriptivos'!C$6/90,0)*'estadísticos descriptivos'!C$2</f>
        <v>8.1504471822079921E-13</v>
      </c>
      <c r="P18">
        <f>BINOMDIST($A18,90,'estadísticos descriptivos'!D$6/90,0)*'estadísticos descriptivos'!D$2</f>
        <v>1.2206558144267833E-6</v>
      </c>
      <c r="Q18">
        <f>BINOMDIST($A18,90,'estadísticos descriptivos'!E$6/90,0)*'estadísticos descriptivos'!E$2</f>
        <v>1.1300620088677866E-14</v>
      </c>
      <c r="R18" s="3">
        <f t="shared" si="4"/>
        <v>7.0626301057870378E-6</v>
      </c>
      <c r="S18">
        <f t="shared" si="5"/>
        <v>8.1504471822079921E-13</v>
      </c>
      <c r="T18">
        <f t="shared" si="6"/>
        <v>1.2206558144267833E-6</v>
      </c>
      <c r="U18">
        <f t="shared" si="7"/>
        <v>1.1300620088677866E-14</v>
      </c>
      <c r="V18" s="3">
        <f t="shared" si="13"/>
        <v>8.3064952392833474E-9</v>
      </c>
      <c r="W18">
        <f t="shared" si="14"/>
        <v>8.4767490954342149E-6</v>
      </c>
      <c r="X18">
        <f t="shared" si="15"/>
        <v>4.6718636149738077E-4</v>
      </c>
      <c r="Y18" s="4" t="e">
        <f t="shared" si="16"/>
        <v>#DIV/0!</v>
      </c>
      <c r="Z18">
        <f t="shared" si="8"/>
        <v>8.3064952392833474E-9</v>
      </c>
      <c r="AA18">
        <f t="shared" si="9"/>
        <v>8.4767490954342149E-6</v>
      </c>
      <c r="AB18">
        <f t="shared" si="10"/>
        <v>4.6718636149738077E-4</v>
      </c>
      <c r="AC18" s="4" t="e">
        <f t="shared" si="11"/>
        <v>#DIV/0!</v>
      </c>
    </row>
    <row r="19" spans="1:29">
      <c r="A19">
        <f t="shared" si="12"/>
        <v>15</v>
      </c>
      <c r="B19" s="3">
        <f>+COUNTIF(desglose!F:F,'pruebas de bondad de ajuste'!$A19)</f>
        <v>0</v>
      </c>
      <c r="C19">
        <f>+COUNTIF(desglose!G:G,'pruebas de bondad de ajuste'!$A19)</f>
        <v>0</v>
      </c>
      <c r="D19">
        <f>+COUNTIF(desglose!Q:Q,'pruebas de bondad de ajuste'!$A19)/'estadísticos descriptivos'!D$2</f>
        <v>0</v>
      </c>
      <c r="E19" s="4">
        <f>+COUNTIF(desglose!R:R,'pruebas de bondad de ajuste'!$A19)/'estadísticos descriptivos'!E$2</f>
        <v>0</v>
      </c>
      <c r="F19" s="3">
        <f>+_xlfn.POISSON.DIST($A19,'estadísticos descriptivos'!B$6,0)*'estadísticos descriptivos'!B$2</f>
        <v>2.4155590494924597E-6</v>
      </c>
      <c r="G19">
        <f>+_xlfn.POISSON.DIST($A19,'estadísticos descriptivos'!C$6,0)*'estadísticos descriptivos'!C$2</f>
        <v>1.0271250567262862E-13</v>
      </c>
      <c r="H19">
        <f>+_xlfn.POISSON.DIST($A19,'estadísticos descriptivos'!D$6,0)*'estadísticos descriptivos'!D$2</f>
        <v>3.8645595958072525E-7</v>
      </c>
      <c r="I19">
        <f>+_xlfn.POISSON.DIST($A19,'estadísticos descriptivos'!E$6,0)*'estadísticos descriptivos'!E$2</f>
        <v>1.0975230471401617E-15</v>
      </c>
      <c r="J19">
        <f t="shared" si="0"/>
        <v>2.4155590494924597E-6</v>
      </c>
      <c r="K19">
        <f t="shared" si="1"/>
        <v>1.0271250567262862E-13</v>
      </c>
      <c r="L19">
        <f t="shared" si="2"/>
        <v>3.8645595958072525E-7</v>
      </c>
      <c r="M19" s="4">
        <f t="shared" si="3"/>
        <v>1.0975230471401617E-15</v>
      </c>
      <c r="N19">
        <f>BINOMDIST($A19,90,'estadísticos descriptivos'!B$6/90,0)*'estadísticos descriptivos'!B$2</f>
        <v>1.041529928282383E-6</v>
      </c>
      <c r="O19">
        <f>BINOMDIST($A19,90,'estadísticos descriptivos'!C$6/90,0)*'estadísticos descriptivos'!C$2</f>
        <v>3.3642035891259117E-14</v>
      </c>
      <c r="P19">
        <f>BINOMDIST($A19,90,'estadísticos descriptivos'!D$6/90,0)*'estadísticos descriptivos'!D$2</f>
        <v>1.6022425198002649E-7</v>
      </c>
      <c r="Q19">
        <f>BINOMDIST($A19,90,'estadísticos descriptivos'!E$6/90,0)*'estadísticos descriptivos'!E$2</f>
        <v>3.4912484826809568E-16</v>
      </c>
      <c r="R19" s="3">
        <f t="shared" si="4"/>
        <v>1.041529928282383E-6</v>
      </c>
      <c r="S19">
        <f t="shared" si="5"/>
        <v>3.3642035891259117E-14</v>
      </c>
      <c r="T19">
        <f t="shared" si="6"/>
        <v>1.6022425198002649E-7</v>
      </c>
      <c r="U19">
        <f t="shared" si="7"/>
        <v>3.4912484826809568E-16</v>
      </c>
      <c r="V19" s="3">
        <f t="shared" si="13"/>
        <v>4.9086213136880263E-10</v>
      </c>
      <c r="W19">
        <f t="shared" si="14"/>
        <v>2.8527910980866224E-6</v>
      </c>
      <c r="X19">
        <f t="shared" si="15"/>
        <v>1.9947450573213488E-4</v>
      </c>
      <c r="Y19" s="4" t="e">
        <f t="shared" si="16"/>
        <v>#DIV/0!</v>
      </c>
      <c r="Z19">
        <f t="shared" si="8"/>
        <v>4.9086213136880263E-10</v>
      </c>
      <c r="AA19">
        <f t="shared" si="9"/>
        <v>2.8527910980866224E-6</v>
      </c>
      <c r="AB19">
        <f t="shared" si="10"/>
        <v>1.9947450573213488E-4</v>
      </c>
      <c r="AC19" s="4" t="e">
        <f t="shared" si="11"/>
        <v>#DIV/0!</v>
      </c>
    </row>
    <row r="20" spans="1:29">
      <c r="A20">
        <f t="shared" si="12"/>
        <v>16</v>
      </c>
      <c r="B20" s="3">
        <f>+COUNTIF(desglose!F:F,'pruebas de bondad de ajuste'!$A20)</f>
        <v>0</v>
      </c>
      <c r="C20">
        <f>+COUNTIF(desglose!G:G,'pruebas de bondad de ajuste'!$A20)</f>
        <v>0</v>
      </c>
      <c r="D20">
        <f>+COUNTIF(desglose!Q:Q,'pruebas de bondad de ajuste'!$A20)/'estadísticos descriptivos'!D$2</f>
        <v>0</v>
      </c>
      <c r="E20" s="4">
        <f>+COUNTIF(desglose!R:R,'pruebas de bondad de ajuste'!$A20)/'estadísticos descriptivos'!E$2</f>
        <v>0</v>
      </c>
      <c r="F20" s="3">
        <f>+_xlfn.POISSON.DIST($A20,'estadísticos descriptivos'!B$6,0)*'estadísticos descriptivos'!B$2</f>
        <v>3.8429348514652828E-7</v>
      </c>
      <c r="G20">
        <f>+_xlfn.POISSON.DIST($A20,'estadísticos descriptivos'!C$6,0)*'estadísticos descriptivos'!C$2</f>
        <v>4.6687502578467536E-15</v>
      </c>
      <c r="H20">
        <f>+_xlfn.POISSON.DIST($A20,'estadísticos descriptivos'!D$6,0)*'estadísticos descriptivos'!D$2</f>
        <v>5.4894312440444012E-8</v>
      </c>
      <c r="I20">
        <f>+_xlfn.POISSON.DIST($A20,'estadísticos descriptivos'!E$6,0)*'estadísticos descriptivos'!E$2</f>
        <v>3.7415558425232743E-17</v>
      </c>
      <c r="J20">
        <f t="shared" si="0"/>
        <v>3.8429348514652828E-7</v>
      </c>
      <c r="K20">
        <f t="shared" si="1"/>
        <v>4.6687502578467536E-15</v>
      </c>
      <c r="L20">
        <f t="shared" si="2"/>
        <v>5.4894312440444012E-8</v>
      </c>
      <c r="M20" s="4">
        <f t="shared" si="3"/>
        <v>3.7415558425232743E-17</v>
      </c>
      <c r="N20">
        <f>BINOMDIST($A20,90,'estadísticos descriptivos'!B$6/90,0)*'estadísticos descriptivos'!B$2</f>
        <v>1.4210062690962895E-7</v>
      </c>
      <c r="O20">
        <f>BINOMDIST($A20,90,'estadísticos descriptivos'!C$6/90,0)*'estadísticos descriptivos'!C$2</f>
        <v>1.2847009632609068E-15</v>
      </c>
      <c r="P20">
        <f>BINOMDIST($A20,90,'estadísticos descriptivos'!D$6/90,0)*'estadísticos descriptivos'!D$2</f>
        <v>1.9457284485916492E-8</v>
      </c>
      <c r="Q20">
        <f>BINOMDIST($A20,90,'estadísticos descriptivos'!E$6/90,0)*'estadísticos descriptivos'!E$2</f>
        <v>9.9787971113212741E-18</v>
      </c>
      <c r="R20" s="3">
        <f t="shared" si="4"/>
        <v>1.4210062690962895E-7</v>
      </c>
      <c r="S20">
        <f t="shared" si="5"/>
        <v>1.2847009632609068E-15</v>
      </c>
      <c r="T20">
        <f t="shared" si="6"/>
        <v>1.9457284485916492E-8</v>
      </c>
      <c r="U20">
        <f t="shared" si="7"/>
        <v>9.9787971113212741E-18</v>
      </c>
      <c r="V20" s="3">
        <f t="shared" si="13"/>
        <v>2.3591321067415917E-11</v>
      </c>
      <c r="W20">
        <f t="shared" si="14"/>
        <v>9.5837080064063957E-7</v>
      </c>
      <c r="X20">
        <f t="shared" si="15"/>
        <v>8.4362565533053103E-5</v>
      </c>
      <c r="Y20" s="4" t="e">
        <f t="shared" si="16"/>
        <v>#DIV/0!</v>
      </c>
      <c r="Z20">
        <f t="shared" si="8"/>
        <v>2.3591321067415917E-11</v>
      </c>
      <c r="AA20">
        <f t="shared" si="9"/>
        <v>9.5837080064063957E-7</v>
      </c>
      <c r="AB20">
        <f t="shared" si="10"/>
        <v>8.4362565533053103E-5</v>
      </c>
      <c r="AC20" s="4" t="e">
        <f t="shared" si="11"/>
        <v>#DIV/0!</v>
      </c>
    </row>
    <row r="21" spans="1:29">
      <c r="A21">
        <f t="shared" si="12"/>
        <v>17</v>
      </c>
      <c r="B21" s="3">
        <f>+COUNTIF(desglose!F:F,'pruebas de bondad de ajuste'!$A21)</f>
        <v>0</v>
      </c>
      <c r="C21">
        <f>+COUNTIF(desglose!G:G,'pruebas de bondad de ajuste'!$A21)</f>
        <v>0</v>
      </c>
      <c r="D21">
        <f>+COUNTIF(desglose!Q:Q,'pruebas de bondad de ajuste'!$A21)/'estadísticos descriptivos'!D$2</f>
        <v>0</v>
      </c>
      <c r="E21" s="4">
        <f>+COUNTIF(desglose!R:R,'pruebas de bondad de ajuste'!$A21)/'estadísticos descriptivos'!E$2</f>
        <v>0</v>
      </c>
      <c r="F21" s="3">
        <f>+_xlfn.POISSON.DIST($A21,'estadísticos descriptivos'!B$6,0)*'estadísticos descriptivos'!B$2</f>
        <v>5.7541270503223107E-8</v>
      </c>
      <c r="G21">
        <f>+_xlfn.POISSON.DIST($A21,'estadísticos descriptivos'!C$6,0)*'estadísticos descriptivos'!C$2</f>
        <v>1.9973263135173299E-16</v>
      </c>
      <c r="H21">
        <f>+_xlfn.POISSON.DIST($A21,'estadísticos descriptivos'!D$6,0)*'estadísticos descriptivos'!D$2</f>
        <v>7.3388118235887608E-9</v>
      </c>
      <c r="I21">
        <f>+_xlfn.POISSON.DIST($A21,'estadísticos descriptivos'!E$6,0)*'estadísticos descriptivos'!E$2</f>
        <v>1.2004992008096069E-18</v>
      </c>
      <c r="J21">
        <f t="shared" si="0"/>
        <v>5.7541270503223107E-8</v>
      </c>
      <c r="K21">
        <f t="shared" si="1"/>
        <v>1.9973263135173299E-16</v>
      </c>
      <c r="L21">
        <f t="shared" si="2"/>
        <v>7.3388118235887608E-9</v>
      </c>
      <c r="M21" s="4">
        <f t="shared" si="3"/>
        <v>1.2004992008096069E-18</v>
      </c>
      <c r="N21">
        <f>BINOMDIST($A21,90,'estadísticos descriptivos'!B$6/90,0)*'estadísticos descriptivos'!B$2</f>
        <v>1.8003699336966446E-8</v>
      </c>
      <c r="O21">
        <f>BINOMDIST($A21,90,'estadísticos descriptivos'!C$6/90,0)*'estadísticos descriptivos'!C$2</f>
        <v>4.5557863319184457E-17</v>
      </c>
      <c r="P21">
        <f>BINOMDIST($A21,90,'estadísticos descriptivos'!D$6/90,0)*'estadísticos descriptivos'!D$2</f>
        <v>2.1942076378509805E-9</v>
      </c>
      <c r="Q21">
        <f>BINOMDIST($A21,90,'estadísticos descriptivos'!E$6/90,0)*'estadísticos descriptivos'!E$2</f>
        <v>2.648604685214426E-19</v>
      </c>
      <c r="R21" s="3">
        <f t="shared" si="4"/>
        <v>1.8003699336966446E-8</v>
      </c>
      <c r="S21">
        <f t="shared" si="5"/>
        <v>4.5557863319184463E-17</v>
      </c>
      <c r="T21">
        <f t="shared" si="6"/>
        <v>2.1942076378509805E-9</v>
      </c>
      <c r="U21">
        <f t="shared" si="7"/>
        <v>2.648604685214426E-19</v>
      </c>
      <c r="V21" s="3">
        <f t="shared" si="13"/>
        <v>9.0246421964887894E-13</v>
      </c>
      <c r="W21">
        <f t="shared" si="14"/>
        <v>3.2144398624358296E-7</v>
      </c>
      <c r="X21">
        <f t="shared" si="15"/>
        <v>3.5375564944943534E-5</v>
      </c>
      <c r="Y21" s="4" t="e">
        <f t="shared" si="16"/>
        <v>#DIV/0!</v>
      </c>
      <c r="Z21">
        <f t="shared" si="8"/>
        <v>9.0246421964887894E-13</v>
      </c>
      <c r="AA21">
        <f t="shared" si="9"/>
        <v>3.2144398624358296E-7</v>
      </c>
      <c r="AB21">
        <f t="shared" si="10"/>
        <v>3.5375564944943534E-5</v>
      </c>
      <c r="AC21" s="4" t="e">
        <f t="shared" si="11"/>
        <v>#DIV/0!</v>
      </c>
    </row>
    <row r="22" spans="1:29">
      <c r="A22">
        <f t="shared" si="12"/>
        <v>18</v>
      </c>
      <c r="B22" s="3">
        <f>+COUNTIF(desglose!F:F,'pruebas de bondad de ajuste'!$A22)</f>
        <v>0</v>
      </c>
      <c r="C22">
        <f>+COUNTIF(desglose!G:G,'pruebas de bondad de ajuste'!$A22)</f>
        <v>0</v>
      </c>
      <c r="D22">
        <f>+COUNTIF(desglose!Q:Q,'pruebas de bondad de ajuste'!$A22)/'estadísticos descriptivos'!D$2</f>
        <v>0</v>
      </c>
      <c r="E22" s="4">
        <f>+COUNTIF(desglose!R:R,'pruebas de bondad de ajuste'!$A22)/'estadísticos descriptivos'!E$2</f>
        <v>0</v>
      </c>
      <c r="F22" s="3">
        <f>+_xlfn.POISSON.DIST($A22,'estadísticos descriptivos'!B$6,0)*'estadísticos descriptivos'!B$2</f>
        <v>8.1371493640921574E-9</v>
      </c>
      <c r="G22">
        <f>+_xlfn.POISSON.DIST($A22,'estadísticos descriptivos'!C$6,0)*'estadísticos descriptivos'!C$2</f>
        <v>8.0700053071407502E-18</v>
      </c>
      <c r="H22">
        <f>+_xlfn.POISSON.DIST($A22,'estadísticos descriptivos'!D$6,0)*'estadísticos descriptivos'!D$2</f>
        <v>9.266176544935306E-10</v>
      </c>
      <c r="I22">
        <f>+_xlfn.POISSON.DIST($A22,'estadísticos descriptivos'!E$6,0)*'estadísticos descriptivos'!E$2</f>
        <v>3.6378763660897331E-20</v>
      </c>
      <c r="J22">
        <f t="shared" si="0"/>
        <v>8.1371493640921574E-9</v>
      </c>
      <c r="K22">
        <f t="shared" si="1"/>
        <v>8.0700053071407502E-18</v>
      </c>
      <c r="L22">
        <f t="shared" si="2"/>
        <v>9.266176544935306E-10</v>
      </c>
      <c r="M22" s="4">
        <f t="shared" si="3"/>
        <v>3.6378763660897331E-20</v>
      </c>
      <c r="N22">
        <f>BINOMDIST($A22,90,'estadísticos descriptivos'!B$6/90,0)*'estadísticos descriptivos'!B$2</f>
        <v>2.1251767986116639E-9</v>
      </c>
      <c r="O22">
        <f>BINOMDIST($A22,90,'estadísticos descriptivos'!C$6/90,0)*'estadísticos descriptivos'!C$2</f>
        <v>1.5051930401902896E-18</v>
      </c>
      <c r="P22">
        <f>BINOMDIST($A22,90,'estadísticos descriptivos'!D$6/90,0)*'estadísticos descriptivos'!D$2</f>
        <v>2.3053707191007764E-10</v>
      </c>
      <c r="Q22">
        <f>BINOMDIST($A22,90,'estadísticos descriptivos'!E$6/90,0)*'estadísticos descriptivos'!E$2</f>
        <v>6.5497338082877091E-21</v>
      </c>
      <c r="R22" s="3">
        <f t="shared" si="4"/>
        <v>2.1251767986116639E-9</v>
      </c>
      <c r="S22">
        <f t="shared" si="5"/>
        <v>1.5051930401902897E-18</v>
      </c>
      <c r="T22">
        <f t="shared" si="6"/>
        <v>2.3053707191007764E-10</v>
      </c>
      <c r="U22">
        <f t="shared" si="7"/>
        <v>6.5497338082877091E-21</v>
      </c>
      <c r="V22" s="3">
        <f t="shared" si="13"/>
        <v>2.6604166189738386E-14</v>
      </c>
      <c r="W22">
        <f t="shared" si="14"/>
        <v>1.0766066524904692E-7</v>
      </c>
      <c r="X22">
        <f t="shared" si="15"/>
        <v>1.472012678032743E-5</v>
      </c>
      <c r="Y22" s="4" t="e">
        <f t="shared" si="16"/>
        <v>#DIV/0!</v>
      </c>
      <c r="Z22">
        <f t="shared" si="8"/>
        <v>2.6604166189738386E-14</v>
      </c>
      <c r="AA22">
        <f t="shared" si="9"/>
        <v>1.0766066524904693E-7</v>
      </c>
      <c r="AB22">
        <f t="shared" si="10"/>
        <v>1.472012678032743E-5</v>
      </c>
      <c r="AC22" s="4" t="e">
        <f t="shared" si="11"/>
        <v>#DIV/0!</v>
      </c>
    </row>
    <row r="23" spans="1:29">
      <c r="A23">
        <f t="shared" si="12"/>
        <v>19</v>
      </c>
      <c r="B23" s="3">
        <f>+COUNTIF(desglose!F:F,'pruebas de bondad de ajuste'!$A23)</f>
        <v>0</v>
      </c>
      <c r="C23">
        <f>+COUNTIF(desglose!G:G,'pruebas de bondad de ajuste'!$A23)</f>
        <v>0</v>
      </c>
      <c r="D23">
        <f>+COUNTIF(desglose!Q:Q,'pruebas de bondad de ajuste'!$A23)/'estadísticos descriptivos'!D$2</f>
        <v>0</v>
      </c>
      <c r="E23" s="4">
        <f>+COUNTIF(desglose!R:R,'pruebas de bondad de ajuste'!$A23)/'estadísticos descriptivos'!E$2</f>
        <v>0</v>
      </c>
      <c r="F23" s="3">
        <f>+_xlfn.POISSON.DIST($A23,'estadísticos descriptivos'!B$6,0)*'estadísticos descriptivos'!B$2</f>
        <v>1.0901444124142612E-9</v>
      </c>
      <c r="G23">
        <f>+_xlfn.POISSON.DIST($A23,'estadísticos descriptivos'!C$6,0)*'estadísticos descriptivos'!C$2</f>
        <v>3.088997246752436E-19</v>
      </c>
      <c r="H23">
        <f>+_xlfn.POISSON.DIST($A23,'estadísticos descriptivos'!D$6,0)*'estadísticos descriptivos'!D$2</f>
        <v>1.1083943235568477E-10</v>
      </c>
      <c r="I23">
        <f>+_xlfn.POISSON.DIST($A23,'estadísticos descriptivos'!E$6,0)*'estadísticos descriptivos'!E$2</f>
        <v>1.0443664208870023E-21</v>
      </c>
      <c r="J23">
        <f t="shared" si="0"/>
        <v>1.0901444124142612E-9</v>
      </c>
      <c r="K23">
        <f t="shared" si="1"/>
        <v>3.088997246752436E-19</v>
      </c>
      <c r="L23">
        <f t="shared" si="2"/>
        <v>1.1083943235568477E-10</v>
      </c>
      <c r="M23" s="4">
        <f t="shared" si="3"/>
        <v>1.0443664208870023E-21</v>
      </c>
      <c r="N23">
        <f>BINOMDIST($A23,90,'estadísticos descriptivos'!B$6/90,0)*'estadísticos descriptivos'!B$2</f>
        <v>2.34399629390586E-10</v>
      </c>
      <c r="O23">
        <f>BINOMDIST($A23,90,'estadísticos descriptivos'!C$6/90,0)*'estadísticos descriptivos'!C$2</f>
        <v>4.6467530879493926E-20</v>
      </c>
      <c r="P23">
        <f>BINOMDIST($A23,90,'estadísticos descriptivos'!D$6/90,0)*'estadísticos descriptivos'!D$2</f>
        <v>2.263249137922765E-11</v>
      </c>
      <c r="Q23">
        <f>BINOMDIST($A23,90,'estadísticos descriptivos'!E$6/90,0)*'estadísticos descriptivos'!E$2</f>
        <v>1.5134173112859749E-22</v>
      </c>
      <c r="R23" s="3">
        <f t="shared" si="4"/>
        <v>2.34399629390586E-10</v>
      </c>
      <c r="S23">
        <f t="shared" si="5"/>
        <v>4.6467530879493926E-20</v>
      </c>
      <c r="T23">
        <f t="shared" si="6"/>
        <v>2.263249137922765E-11</v>
      </c>
      <c r="U23">
        <f t="shared" si="7"/>
        <v>1.5134173112859749E-22</v>
      </c>
      <c r="V23" s="3">
        <f t="shared" si="13"/>
        <v>5.741796801884249E-16</v>
      </c>
      <c r="W23">
        <f t="shared" si="14"/>
        <v>3.6012234964406071E-8</v>
      </c>
      <c r="X23">
        <f t="shared" si="15"/>
        <v>6.0825631675856207E-6</v>
      </c>
      <c r="Y23" s="4" t="e">
        <f t="shared" si="16"/>
        <v>#DIV/0!</v>
      </c>
      <c r="Z23">
        <f t="shared" si="8"/>
        <v>5.741796801884249E-16</v>
      </c>
      <c r="AA23">
        <f t="shared" si="9"/>
        <v>3.6012234964406071E-8</v>
      </c>
      <c r="AB23">
        <f t="shared" si="10"/>
        <v>6.0825631675856207E-6</v>
      </c>
      <c r="AC23" s="4" t="e">
        <f t="shared" si="11"/>
        <v>#DIV/0!</v>
      </c>
    </row>
    <row r="24" spans="1:29">
      <c r="A24">
        <f t="shared" si="12"/>
        <v>20</v>
      </c>
      <c r="B24" s="3">
        <f>+COUNTIF(desglose!F:F,'pruebas de bondad de ajuste'!$A24)</f>
        <v>0</v>
      </c>
      <c r="C24">
        <f>+COUNTIF(desglose!G:G,'pruebas de bondad de ajuste'!$A24)</f>
        <v>0</v>
      </c>
      <c r="D24">
        <f>+COUNTIF(desglose!Q:Q,'pruebas de bondad de ajuste'!$A24)/'estadísticos descriptivos'!D$2</f>
        <v>0</v>
      </c>
      <c r="E24" s="4">
        <f>+COUNTIF(desglose!R:R,'pruebas de bondad de ajuste'!$A24)/'estadísticos descriptivos'!E$2</f>
        <v>0</v>
      </c>
      <c r="F24" s="3">
        <f>+_xlfn.POISSON.DIST($A24,'estadísticos descriptivos'!B$6,0)*'estadísticos descriptivos'!B$2</f>
        <v>1.3874565248908823E-10</v>
      </c>
      <c r="G24">
        <f>+_xlfn.POISSON.DIST($A24,'estadísticos descriptivos'!C$6,0)*'estadísticos descriptivos'!C$2</f>
        <v>1.1232717260917959E-20</v>
      </c>
      <c r="H24">
        <f>+_xlfn.POISSON.DIST($A24,'estadísticos descriptivos'!D$6,0)*'estadísticos descriptivos'!D$2</f>
        <v>1.2595390040418854E-11</v>
      </c>
      <c r="I24">
        <f>+_xlfn.POISSON.DIST($A24,'estadísticos descriptivos'!E$6,0)*'estadísticos descriptivos'!E$2</f>
        <v>2.8482720569645513E-23</v>
      </c>
      <c r="J24">
        <f t="shared" si="0"/>
        <v>1.3874565248908823E-10</v>
      </c>
      <c r="K24">
        <f t="shared" si="1"/>
        <v>1.1232717260917959E-20</v>
      </c>
      <c r="L24">
        <f t="shared" si="2"/>
        <v>1.2595390040418854E-11</v>
      </c>
      <c r="M24" s="4">
        <f t="shared" si="3"/>
        <v>2.8482720569645513E-23</v>
      </c>
      <c r="N24">
        <f>BINOMDIST($A24,90,'estadísticos descriptivos'!B$6/90,0)*'estadísticos descriptivos'!B$2</f>
        <v>2.4219670645971098E-11</v>
      </c>
      <c r="O24">
        <f>BINOMDIST($A24,90,'estadísticos descriptivos'!C$6/90,0)*'estadísticos descriptivos'!C$2</f>
        <v>1.3438674918305846E-21</v>
      </c>
      <c r="P24">
        <f>BINOMDIST($A24,90,'estadísticos descriptivos'!D$6/90,0)*'estadísticos descriptivos'!D$2</f>
        <v>2.0814856061206912E-12</v>
      </c>
      <c r="Q24">
        <f>BINOMDIST($A24,90,'estadísticos descriptivos'!E$6/90,0)*'estadísticos descriptivos'!E$2</f>
        <v>3.2759947896738764E-24</v>
      </c>
      <c r="R24" s="3">
        <f t="shared" si="4"/>
        <v>2.4219670645971098E-11</v>
      </c>
      <c r="S24">
        <f t="shared" si="5"/>
        <v>1.3438674918305846E-21</v>
      </c>
      <c r="T24">
        <f t="shared" si="6"/>
        <v>2.0814856061206912E-12</v>
      </c>
      <c r="U24">
        <f t="shared" si="7"/>
        <v>3.2759947896738764E-24</v>
      </c>
      <c r="V24" s="3">
        <f t="shared" si="13"/>
        <v>8.289595086192747E-18</v>
      </c>
      <c r="W24">
        <f t="shared" si="14"/>
        <v>1.2031975701026442E-8</v>
      </c>
      <c r="X24">
        <f t="shared" si="15"/>
        <v>2.4974632635671966E-6</v>
      </c>
      <c r="Y24" s="4" t="e">
        <f t="shared" si="16"/>
        <v>#DIV/0!</v>
      </c>
      <c r="Z24">
        <f t="shared" si="8"/>
        <v>8.289595086192747E-18</v>
      </c>
      <c r="AA24">
        <f t="shared" si="9"/>
        <v>1.2031975701026442E-8</v>
      </c>
      <c r="AB24">
        <f t="shared" si="10"/>
        <v>2.4974632635671966E-6</v>
      </c>
      <c r="AC24" s="4" t="e">
        <f t="shared" si="11"/>
        <v>#DIV/0!</v>
      </c>
    </row>
    <row r="25" spans="1:29">
      <c r="A25">
        <f t="shared" si="12"/>
        <v>21</v>
      </c>
      <c r="B25" s="3">
        <f>+COUNTIF(desglose!F:F,'pruebas de bondad de ajuste'!$A25)</f>
        <v>0</v>
      </c>
      <c r="C25">
        <f>+COUNTIF(desglose!G:G,'pruebas de bondad de ajuste'!$A25)</f>
        <v>0</v>
      </c>
      <c r="D25">
        <f>+COUNTIF(desglose!Q:Q,'pruebas de bondad de ajuste'!$A25)/'estadísticos descriptivos'!D$2</f>
        <v>0</v>
      </c>
      <c r="E25" s="4">
        <f>+COUNTIF(desglose!R:R,'pruebas de bondad de ajuste'!$A25)/'estadísticos descriptivos'!E$2</f>
        <v>0</v>
      </c>
      <c r="F25" s="3">
        <f>+_xlfn.POISSON.DIST($A25,'estadísticos descriptivos'!B$6,0)*'estadísticos descriptivos'!B$2</f>
        <v>1.6817654847162223E-11</v>
      </c>
      <c r="G25">
        <f>+_xlfn.POISSON.DIST($A25,'estadísticos descriptivos'!C$6,0)*'estadísticos descriptivos'!C$2</f>
        <v>3.8901185319196378E-22</v>
      </c>
      <c r="H25">
        <f>+_xlfn.POISSON.DIST($A25,'estadísticos descriptivos'!D$6,0)*'estadísticos descriptivos'!D$2</f>
        <v>1.3631374502617717E-12</v>
      </c>
      <c r="I25">
        <f>+_xlfn.POISSON.DIST($A25,'estadísticos descriptivos'!E$6,0)*'estadísticos descriptivos'!E$2</f>
        <v>7.3981092388689773E-25</v>
      </c>
      <c r="J25">
        <f t="shared" si="0"/>
        <v>1.6817654847162223E-11</v>
      </c>
      <c r="K25">
        <f t="shared" si="1"/>
        <v>3.8901185319196378E-22</v>
      </c>
      <c r="L25">
        <f t="shared" si="2"/>
        <v>1.3631374502617717E-12</v>
      </c>
      <c r="M25" s="4">
        <f t="shared" si="3"/>
        <v>7.3981092388689773E-25</v>
      </c>
      <c r="N25">
        <f>BINOMDIST($A25,90,'estadísticos descriptivos'!B$6/90,0)*'estadísticos descriptivos'!B$2</f>
        <v>2.3497947958669248E-12</v>
      </c>
      <c r="O25">
        <f>BINOMDIST($A25,90,'estadísticos descriptivos'!C$6/90,0)*'estadísticos descriptivos'!C$2</f>
        <v>3.6493346689221784E-23</v>
      </c>
      <c r="P25">
        <f>BINOMDIST($A25,90,'estadísticos descriptivos'!D$6/90,0)*'estadísticos descriptivos'!D$2</f>
        <v>1.797483252263112E-13</v>
      </c>
      <c r="Q25">
        <f>BINOMDIST($A25,90,'estadísticos descriptivos'!E$6/90,0)*'estadísticos descriptivos'!E$2</f>
        <v>6.6585259952722337E-26</v>
      </c>
      <c r="R25" s="3">
        <f t="shared" si="4"/>
        <v>2.3497947958669248E-12</v>
      </c>
      <c r="S25">
        <f t="shared" si="5"/>
        <v>3.6493346689221784E-23</v>
      </c>
      <c r="T25">
        <f t="shared" si="6"/>
        <v>1.797483252263112E-13</v>
      </c>
      <c r="U25">
        <f t="shared" si="7"/>
        <v>6.6585259952722337E-26</v>
      </c>
      <c r="V25" s="3">
        <f t="shared" si="13"/>
        <v>6.5834263700534217E-20</v>
      </c>
      <c r="W25">
        <f t="shared" si="14"/>
        <v>4.0157176839484944E-9</v>
      </c>
      <c r="X25">
        <f t="shared" si="15"/>
        <v>1.0194942886416073E-6</v>
      </c>
      <c r="Y25" s="4" t="e">
        <f t="shared" si="16"/>
        <v>#DIV/0!</v>
      </c>
      <c r="Z25">
        <f t="shared" si="8"/>
        <v>6.5834263700534217E-20</v>
      </c>
      <c r="AA25">
        <f t="shared" si="9"/>
        <v>4.0157176839484944E-9</v>
      </c>
      <c r="AB25">
        <f t="shared" si="10"/>
        <v>1.0194942886416073E-6</v>
      </c>
      <c r="AC25" s="4" t="e">
        <f t="shared" si="11"/>
        <v>#DIV/0!</v>
      </c>
    </row>
    <row r="26" spans="1:29">
      <c r="A26">
        <f t="shared" si="12"/>
        <v>22</v>
      </c>
      <c r="B26" s="3">
        <f>+COUNTIF(desglose!F:F,'pruebas de bondad de ajuste'!$A26)</f>
        <v>0</v>
      </c>
      <c r="C26">
        <f>+COUNTIF(desglose!G:G,'pruebas de bondad de ajuste'!$A26)</f>
        <v>0</v>
      </c>
      <c r="D26">
        <f>+COUNTIF(desglose!Q:Q,'pruebas de bondad de ajuste'!$A26)/'estadísticos descriptivos'!D$2</f>
        <v>0</v>
      </c>
      <c r="E26" s="4">
        <f>+COUNTIF(desglose!R:R,'pruebas de bondad de ajuste'!$A26)/'estadísticos descriptivos'!E$2</f>
        <v>0</v>
      </c>
      <c r="F26" s="3">
        <f>+_xlfn.POISSON.DIST($A26,'estadísticos descriptivos'!B$6,0)*'estadísticos descriptivos'!B$2</f>
        <v>1.9458443624815769E-12</v>
      </c>
      <c r="G26">
        <f>+_xlfn.POISSON.DIST($A26,'estadísticos descriptivos'!C$6,0)*'estadísticos descriptivos'!C$2</f>
        <v>1.2859895973288012E-23</v>
      </c>
      <c r="H26">
        <f>+_xlfn.POISSON.DIST($A26,'estadísticos descriptivos'!D$6,0)*'estadísticos descriptivos'!D$2</f>
        <v>1.4081998453117458E-13</v>
      </c>
      <c r="I26">
        <f>+_xlfn.POISSON.DIST($A26,'estadísticos descriptivos'!E$6,0)*'estadísticos descriptivos'!E$2</f>
        <v>1.8342419600501515E-26</v>
      </c>
      <c r="J26">
        <f t="shared" si="0"/>
        <v>1.9458443624815769E-12</v>
      </c>
      <c r="K26">
        <f t="shared" si="1"/>
        <v>1.2859895973288012E-23</v>
      </c>
      <c r="L26">
        <f t="shared" si="2"/>
        <v>1.4081998453117458E-13</v>
      </c>
      <c r="M26" s="4">
        <f t="shared" si="3"/>
        <v>1.8342419600501515E-26</v>
      </c>
      <c r="N26">
        <f>BINOMDIST($A26,90,'estadísticos descriptivos'!B$6/90,0)*'estadísticos descriptivos'!B$2</f>
        <v>2.145059320362344E-13</v>
      </c>
      <c r="O26">
        <f>BINOMDIST($A26,90,'estadísticos descriptivos'!C$6/90,0)*'estadísticos descriptivos'!C$2</f>
        <v>9.3243507556241557E-25</v>
      </c>
      <c r="P26">
        <f>BINOMDIST($A26,90,'estadísticos descriptivos'!D$6/90,0)*'estadísticos descriptivos'!D$2</f>
        <v>1.4605080594224503E-14</v>
      </c>
      <c r="Q26">
        <f>BINOMDIST($A26,90,'estadísticos descriptivos'!E$6/90,0)*'estadísticos descriptivos'!E$2</f>
        <v>1.2733877319118175E-27</v>
      </c>
      <c r="R26" s="3">
        <f t="shared" si="4"/>
        <v>2.145059320362344E-13</v>
      </c>
      <c r="S26">
        <f t="shared" si="5"/>
        <v>9.3243507556241557E-25</v>
      </c>
      <c r="T26">
        <f t="shared" si="6"/>
        <v>1.4605080594224503E-14</v>
      </c>
      <c r="U26">
        <f t="shared" si="7"/>
        <v>1.2733877319118175E-27</v>
      </c>
      <c r="V26" s="3">
        <f t="shared" si="13"/>
        <v>1.3240132284135366E-22</v>
      </c>
      <c r="W26">
        <f t="shared" si="14"/>
        <v>1.3389624097841994E-9</v>
      </c>
      <c r="X26">
        <f t="shared" si="15"/>
        <v>4.1395249460673819E-7</v>
      </c>
      <c r="Y26" s="4" t="e">
        <f t="shared" si="16"/>
        <v>#DIV/0!</v>
      </c>
      <c r="Z26">
        <f t="shared" si="8"/>
        <v>1.3240132284135366E-22</v>
      </c>
      <c r="AA26">
        <f t="shared" si="9"/>
        <v>1.3389624097841994E-9</v>
      </c>
      <c r="AB26">
        <f t="shared" si="10"/>
        <v>4.1395249460673819E-7</v>
      </c>
      <c r="AC26" s="4" t="e">
        <f t="shared" si="11"/>
        <v>#DIV/0!</v>
      </c>
    </row>
    <row r="27" spans="1:29">
      <c r="A27">
        <f t="shared" si="12"/>
        <v>23</v>
      </c>
      <c r="B27" s="3">
        <f>+COUNTIF(desglose!F:F,'pruebas de bondad de ajuste'!$A27)</f>
        <v>0</v>
      </c>
      <c r="C27">
        <f>+COUNTIF(desglose!G:G,'pruebas de bondad de ajuste'!$A27)</f>
        <v>0</v>
      </c>
      <c r="D27">
        <f>+COUNTIF(desglose!Q:Q,'pruebas de bondad de ajuste'!$A27)/'estadísticos descriptivos'!D$2</f>
        <v>0</v>
      </c>
      <c r="E27" s="4">
        <f>+COUNTIF(desglose!R:R,'pruebas de bondad de ajuste'!$A27)/'estadísticos descriptivos'!E$2</f>
        <v>0</v>
      </c>
      <c r="F27" s="3">
        <f>+_xlfn.POISSON.DIST($A27,'estadísticos descriptivos'!B$6,0)*'estadísticos descriptivos'!B$2</f>
        <v>2.1535036422720895E-13</v>
      </c>
      <c r="G27">
        <f>+_xlfn.POISSON.DIST($A27,'estadísticos descriptivos'!C$6,0)*'estadísticos descriptivos'!C$2</f>
        <v>4.0663702682333643E-25</v>
      </c>
      <c r="H27">
        <f>+_xlfn.POISSON.DIST($A27,'estadísticos descriptivos'!D$6,0)*'estadísticos descriptivos'!D$2</f>
        <v>1.3915018234305811E-14</v>
      </c>
      <c r="I27">
        <f>+_xlfn.POISSON.DIST($A27,'estadísticos descriptivos'!E$6,0)*'estadísticos descriptivos'!E$2</f>
        <v>4.3499809329252576E-28</v>
      </c>
      <c r="J27">
        <f t="shared" si="0"/>
        <v>2.1535036422720895E-13</v>
      </c>
      <c r="K27">
        <f t="shared" si="1"/>
        <v>4.0663702682333647E-25</v>
      </c>
      <c r="L27">
        <f t="shared" si="2"/>
        <v>1.3915018234305811E-14</v>
      </c>
      <c r="M27" s="4">
        <f t="shared" si="3"/>
        <v>4.3499809329252576E-28</v>
      </c>
      <c r="N27">
        <f>BINOMDIST($A27,90,'estadísticos descriptivos'!B$6/90,0)*'estadísticos descriptivos'!B$2</f>
        <v>1.8458794838515187E-14</v>
      </c>
      <c r="O27">
        <f>BINOMDIST($A27,90,'estadísticos descriptivos'!C$6/90,0)*'estadísticos descriptivos'!C$2</f>
        <v>2.2458367179046905E-26</v>
      </c>
      <c r="P27">
        <f>BINOMDIST($A27,90,'estadísticos descriptivos'!D$6/90,0)*'estadísticos descriptivos'!D$2</f>
        <v>1.118659022761057E-15</v>
      </c>
      <c r="Q27">
        <f>BINOMDIST($A27,90,'estadísticos descriptivos'!E$6/90,0)*'estadísticos descriptivos'!E$2</f>
        <v>2.2956088486215122E-29</v>
      </c>
      <c r="R27" s="3">
        <f t="shared" si="4"/>
        <v>1.8458794838515187E-14</v>
      </c>
      <c r="S27">
        <f t="shared" si="5"/>
        <v>2.2458367179046905E-26</v>
      </c>
      <c r="T27">
        <f t="shared" si="6"/>
        <v>1.118659022761057E-15</v>
      </c>
      <c r="U27">
        <f t="shared" si="7"/>
        <v>2.2956088486215125E-29</v>
      </c>
      <c r="V27" s="3">
        <f t="shared" si="13"/>
        <v>-4.5351571349558156E-25</v>
      </c>
      <c r="W27">
        <f t="shared" si="14"/>
        <v>4.4605386498193719E-10</v>
      </c>
      <c r="X27">
        <f t="shared" si="15"/>
        <v>1.6725481108957696E-7</v>
      </c>
      <c r="Y27" s="4" t="e">
        <f t="shared" si="16"/>
        <v>#DIV/0!</v>
      </c>
      <c r="Z27">
        <f t="shared" si="8"/>
        <v>-4.5351571349558156E-25</v>
      </c>
      <c r="AA27">
        <f t="shared" si="9"/>
        <v>4.4605386498193719E-10</v>
      </c>
      <c r="AB27">
        <f t="shared" si="10"/>
        <v>1.6725481108957696E-7</v>
      </c>
      <c r="AC27" s="4" t="e">
        <f t="shared" si="11"/>
        <v>#DIV/0!</v>
      </c>
    </row>
    <row r="28" spans="1:29">
      <c r="A28">
        <f t="shared" si="12"/>
        <v>24</v>
      </c>
      <c r="B28" s="3">
        <f>+COUNTIF(desglose!F:F,'pruebas de bondad de ajuste'!$A28)</f>
        <v>0</v>
      </c>
      <c r="C28">
        <f>+COUNTIF(desglose!G:G,'pruebas de bondad de ajuste'!$A28)</f>
        <v>0</v>
      </c>
      <c r="D28">
        <f>+COUNTIF(desglose!Q:Q,'pruebas de bondad de ajuste'!$A28)/'estadísticos descriptivos'!D$2</f>
        <v>0</v>
      </c>
      <c r="E28" s="4">
        <f>+COUNTIF(desglose!R:R,'pruebas de bondad de ajuste'!$A28)/'estadísticos descriptivos'!E$2</f>
        <v>0</v>
      </c>
      <c r="F28" s="3">
        <f>+_xlfn.POISSON.DIST($A28,'estadísticos descriptivos'!B$6,0)*'estadísticos descriptivos'!B$2</f>
        <v>2.2840190145310168E-14</v>
      </c>
      <c r="G28">
        <f>+_xlfn.POISSON.DIST($A28,'estadísticos descriptivos'!C$6,0)*'estadísticos descriptivos'!C$2</f>
        <v>1.232233414616176E-26</v>
      </c>
      <c r="H28">
        <f>+_xlfn.POISSON.DIST($A28,'estadísticos descriptivos'!D$6,0)*'estadísticos descriptivos'!D$2</f>
        <v>1.3177100600668363E-15</v>
      </c>
      <c r="I28">
        <f>+_xlfn.POISSON.DIST($A28,'estadísticos descriptivos'!E$6,0)*'estadísticos descriptivos'!E$2</f>
        <v>9.8863203021029096E-30</v>
      </c>
      <c r="J28">
        <f t="shared" si="0"/>
        <v>2.2840190145310168E-14</v>
      </c>
      <c r="K28">
        <f t="shared" si="1"/>
        <v>1.232233414616176E-26</v>
      </c>
      <c r="L28">
        <f t="shared" si="2"/>
        <v>1.3177100600668363E-15</v>
      </c>
      <c r="M28" s="4">
        <f t="shared" si="3"/>
        <v>9.8863203021029096E-30</v>
      </c>
      <c r="N28">
        <f>BINOMDIST($A28,90,'estadísticos descriptivos'!B$6/90,0)*'estadísticos descriptivos'!B$2</f>
        <v>1.4998570303644682E-15</v>
      </c>
      <c r="O28">
        <f>BINOMDIST($A28,90,'estadísticos descriptivos'!C$6/90,0)*'estadísticos descriptivos'!C$2</f>
        <v>5.1076395145829489E-28</v>
      </c>
      <c r="P28">
        <f>BINOMDIST($A28,90,'estadísticos descriptivos'!D$6/90,0)*'estadísticos descriptivos'!D$2</f>
        <v>8.0904743658236867E-17</v>
      </c>
      <c r="Q28">
        <f>BINOMDIST($A28,90,'estadísticos descriptivos'!E$6/90,0)*'estadísticos descriptivos'!E$2</f>
        <v>3.9076675014644185E-31</v>
      </c>
      <c r="R28" s="3">
        <f t="shared" si="4"/>
        <v>1.4998570303644682E-15</v>
      </c>
      <c r="S28">
        <f t="shared" si="5"/>
        <v>5.1076395145829489E-28</v>
      </c>
      <c r="T28">
        <f t="shared" si="6"/>
        <v>8.0904743658236867E-17</v>
      </c>
      <c r="U28">
        <f t="shared" si="7"/>
        <v>3.9076675014644185E-31</v>
      </c>
      <c r="V28" s="3">
        <f t="shared" si="13"/>
        <v>3.8217032875285665E-27</v>
      </c>
      <c r="W28">
        <f t="shared" si="14"/>
        <v>1.4847404439743256E-10</v>
      </c>
      <c r="X28">
        <f t="shared" si="15"/>
        <v>6.7271453847306747E-8</v>
      </c>
      <c r="Y28" s="4" t="e">
        <f t="shared" si="16"/>
        <v>#DIV/0!</v>
      </c>
      <c r="Z28">
        <f t="shared" si="8"/>
        <v>3.8217032875285665E-27</v>
      </c>
      <c r="AA28">
        <f t="shared" si="9"/>
        <v>1.4847404439743256E-10</v>
      </c>
      <c r="AB28">
        <f t="shared" si="10"/>
        <v>6.7271453847306747E-8</v>
      </c>
      <c r="AC28" s="4" t="e">
        <f t="shared" si="11"/>
        <v>#DIV/0!</v>
      </c>
    </row>
    <row r="29" spans="1:29">
      <c r="A29">
        <f t="shared" si="12"/>
        <v>25</v>
      </c>
      <c r="B29" s="3">
        <f>+COUNTIF(desglose!F:F,'pruebas de bondad de ajuste'!$A29)</f>
        <v>0</v>
      </c>
      <c r="C29">
        <f>+COUNTIF(desglose!G:G,'pruebas de bondad de ajuste'!$A29)</f>
        <v>0</v>
      </c>
      <c r="D29">
        <f>+COUNTIF(desglose!Q:Q,'pruebas de bondad de ajuste'!$A29)/'estadísticos descriptivos'!D$2</f>
        <v>0</v>
      </c>
      <c r="E29" s="4">
        <f>+COUNTIF(desglose!R:R,'pruebas de bondad de ajuste'!$A29)/'estadísticos descriptivos'!E$2</f>
        <v>0</v>
      </c>
      <c r="F29" s="3">
        <f>+_xlfn.POISSON.DIST($A29,'estadísticos descriptivos'!B$6,0)*'estadísticos descriptivos'!B$2</f>
        <v>2.325546632977017E-15</v>
      </c>
      <c r="G29">
        <f>+_xlfn.POISSON.DIST($A29,'estadísticos descriptivos'!C$6,0)*'estadísticos descriptivos'!C$2</f>
        <v>3.5846790243379721E-28</v>
      </c>
      <c r="H29">
        <f>+_xlfn.POISSON.DIST($A29,'estadísticos descriptivos'!D$6,0)*'estadísticos descriptivos'!D$2</f>
        <v>1.1979182364244045E-16</v>
      </c>
      <c r="I29">
        <f>+_xlfn.POISSON.DIST($A29,'estadísticos descriptivos'!E$6,0)*'estadísticos descriptivos'!E$2</f>
        <v>2.1570153386406369E-31</v>
      </c>
      <c r="J29">
        <f t="shared" si="0"/>
        <v>2.325546632977017E-15</v>
      </c>
      <c r="K29">
        <f t="shared" si="1"/>
        <v>3.5846790243379721E-28</v>
      </c>
      <c r="L29">
        <f t="shared" si="2"/>
        <v>1.1979182364244045E-16</v>
      </c>
      <c r="M29" s="4">
        <f t="shared" si="3"/>
        <v>2.1570153386406369E-31</v>
      </c>
      <c r="N29">
        <f>BINOMDIST($A29,90,'estadísticos descriptivos'!B$6/90,0)*'estadísticos descriptivos'!B$2</f>
        <v>1.152488894849696E-16</v>
      </c>
      <c r="O29">
        <f>BINOMDIST($A29,90,'estadísticos descriptivos'!C$6/90,0)*'estadísticos descriptivos'!C$2</f>
        <v>1.0985065839917638E-29</v>
      </c>
      <c r="P29">
        <f>BINOMDIST($A29,90,'estadísticos descriptivos'!D$6/90,0)*'estadísticos descriptivos'!D$2</f>
        <v>5.5333814315478568E-18</v>
      </c>
      <c r="Q29">
        <f>BINOMDIST($A29,90,'estadísticos descriptivos'!E$6/90,0)*'estadísticos descriptivos'!E$2</f>
        <v>6.2903915877232993E-33</v>
      </c>
      <c r="R29" s="3">
        <f t="shared" si="4"/>
        <v>1.152488894849696E-16</v>
      </c>
      <c r="S29">
        <f t="shared" si="5"/>
        <v>1.0985065839917638E-29</v>
      </c>
      <c r="T29">
        <f t="shared" si="6"/>
        <v>5.5333814315478568E-18</v>
      </c>
      <c r="U29">
        <f t="shared" si="7"/>
        <v>6.2903915877232993E-33</v>
      </c>
      <c r="V29" s="3">
        <f t="shared" si="13"/>
        <v>-4.984888912322994E-29</v>
      </c>
      <c r="W29">
        <f t="shared" si="14"/>
        <v>4.93838770415752E-11</v>
      </c>
      <c r="X29">
        <f t="shared" si="15"/>
        <v>2.6943317427345569E-8</v>
      </c>
      <c r="Y29" s="4" t="e">
        <f t="shared" si="16"/>
        <v>#DIV/0!</v>
      </c>
      <c r="Z29">
        <f t="shared" si="8"/>
        <v>-4.984888912322994E-29</v>
      </c>
      <c r="AA29">
        <f t="shared" si="9"/>
        <v>4.93838770415752E-11</v>
      </c>
      <c r="AB29">
        <f t="shared" si="10"/>
        <v>2.6943317427345569E-8</v>
      </c>
      <c r="AC29" s="4" t="e">
        <f t="shared" si="11"/>
        <v>#DIV/0!</v>
      </c>
    </row>
    <row r="30" spans="1:29">
      <c r="A30">
        <f t="shared" si="12"/>
        <v>26</v>
      </c>
      <c r="B30" s="3">
        <f>+COUNTIF(desglose!F:F,'pruebas de bondad de ajuste'!$A30)</f>
        <v>0</v>
      </c>
      <c r="C30">
        <f>+COUNTIF(desglose!G:G,'pruebas de bondad de ajuste'!$A30)</f>
        <v>0</v>
      </c>
      <c r="D30">
        <f>+COUNTIF(desglose!Q:Q,'pruebas de bondad de ajuste'!$A30)/'estadísticos descriptivos'!D$2</f>
        <v>0</v>
      </c>
      <c r="E30" s="4">
        <f>+COUNTIF(desglose!R:R,'pruebas de bondad de ajuste'!$A30)/'estadísticos descriptivos'!E$2</f>
        <v>0</v>
      </c>
      <c r="F30" s="3">
        <f>+_xlfn.POISSON.DIST($A30,'estadísticos descriptivos'!B$6,0)*'estadísticos descriptivos'!B$2</f>
        <v>2.2767589413761261E-16</v>
      </c>
      <c r="G30">
        <f>+_xlfn.POISSON.DIST($A30,'estadísticos descriptivos'!C$6,0)*'estadísticos descriptivos'!C$2</f>
        <v>1.0027074193952347E-29</v>
      </c>
      <c r="H30">
        <f>+_xlfn.POISSON.DIST($A30,'estadísticos descriptivos'!D$6,0)*'estadísticos descriptivos'!D$2</f>
        <v>1.0471313255458045E-17</v>
      </c>
      <c r="I30">
        <f>+_xlfn.POISSON.DIST($A30,'estadísticos descriptivos'!E$6,0)*'estadísticos descriptivos'!E$2</f>
        <v>4.5252070041411865E-33</v>
      </c>
      <c r="J30">
        <f t="shared" si="0"/>
        <v>2.2767589413761261E-16</v>
      </c>
      <c r="K30">
        <f t="shared" si="1"/>
        <v>1.0027074193952347E-29</v>
      </c>
      <c r="L30">
        <f t="shared" si="2"/>
        <v>1.0471313255458045E-17</v>
      </c>
      <c r="M30" s="4">
        <f t="shared" si="3"/>
        <v>4.5252070041411858E-33</v>
      </c>
      <c r="N30">
        <f>BINOMDIST($A30,90,'estadísticos descriptivos'!B$6/90,0)*'estadísticos descriptivos'!B$2</f>
        <v>8.3860938294676951E-18</v>
      </c>
      <c r="O30">
        <f>BINOMDIST($A30,90,'estadísticos descriptivos'!C$6/90,0)*'estadísticos descriptivos'!C$2</f>
        <v>2.2372842851156702E-31</v>
      </c>
      <c r="P30">
        <f>BINOMDIST($A30,90,'estadísticos descriptivos'!D$6/90,0)*'estadísticos descriptivos'!D$2</f>
        <v>3.5837962639558179E-19</v>
      </c>
      <c r="Q30">
        <f>BINOMDIST($A30,90,'estadísticos descriptivos'!E$6/90,0)*'estadísticos descriptivos'!E$2</f>
        <v>9.5890115666512192E-35</v>
      </c>
      <c r="R30" s="3">
        <f t="shared" si="4"/>
        <v>8.3860938294676951E-18</v>
      </c>
      <c r="S30">
        <f t="shared" si="5"/>
        <v>2.2372842851156702E-31</v>
      </c>
      <c r="T30">
        <f t="shared" si="6"/>
        <v>3.5837962639558179E-19</v>
      </c>
      <c r="U30">
        <f t="shared" si="7"/>
        <v>9.5890115666512192E-35</v>
      </c>
      <c r="V30" s="3">
        <f t="shared" si="13"/>
        <v>8.6330501988512397E-31</v>
      </c>
      <c r="W30">
        <f t="shared" si="14"/>
        <v>1.6414035048587356E-11</v>
      </c>
      <c r="X30">
        <f t="shared" si="15"/>
        <v>1.0749002473844453E-8</v>
      </c>
      <c r="Y30" s="4" t="e">
        <f t="shared" si="16"/>
        <v>#DIV/0!</v>
      </c>
      <c r="Z30">
        <f t="shared" si="8"/>
        <v>8.6330501988512397E-31</v>
      </c>
      <c r="AA30">
        <f t="shared" si="9"/>
        <v>1.6414035048587356E-11</v>
      </c>
      <c r="AB30">
        <f t="shared" si="10"/>
        <v>1.0749002473844453E-8</v>
      </c>
      <c r="AC30" s="4" t="e">
        <f t="shared" si="11"/>
        <v>#DIV/0!</v>
      </c>
    </row>
    <row r="31" spans="1:29">
      <c r="A31">
        <f t="shared" si="12"/>
        <v>27</v>
      </c>
      <c r="B31" s="3">
        <f>+COUNTIF(desglose!F:F,'pruebas de bondad de ajuste'!$A31)</f>
        <v>0</v>
      </c>
      <c r="C31">
        <f>+COUNTIF(desglose!G:G,'pruebas de bondad de ajuste'!$A31)</f>
        <v>0</v>
      </c>
      <c r="D31">
        <f>+COUNTIF(desglose!Q:Q,'pruebas de bondad de ajuste'!$A31)/'estadísticos descriptivos'!D$2</f>
        <v>0</v>
      </c>
      <c r="E31" s="4">
        <f>+COUNTIF(desglose!R:R,'pruebas de bondad de ajuste'!$A31)/'estadísticos descriptivos'!E$2</f>
        <v>0</v>
      </c>
      <c r="F31" s="3">
        <f>+_xlfn.POISSON.DIST($A31,'estadísticos descriptivos'!B$6,0)*'estadísticos descriptivos'!B$2</f>
        <v>2.1464394060111689E-17</v>
      </c>
      <c r="G31">
        <f>+_xlfn.POISSON.DIST($A31,'estadísticos descriptivos'!C$6,0)*'estadísticos descriptivos'!C$2</f>
        <v>2.7008954057784294E-31</v>
      </c>
      <c r="H31">
        <f>+_xlfn.POISSON.DIST($A31,'estadísticos descriptivos'!D$6,0)*'estadísticos descriptivos'!D$2</f>
        <v>8.8142367470185201E-19</v>
      </c>
      <c r="I31">
        <f>+_xlfn.POISSON.DIST($A31,'estadísticos descriptivos'!E$6,0)*'estadísticos descriptivos'!E$2</f>
        <v>9.1418323315984317E-35</v>
      </c>
      <c r="J31">
        <f t="shared" si="0"/>
        <v>2.1464394060111686E-17</v>
      </c>
      <c r="K31">
        <f t="shared" si="1"/>
        <v>2.7008954057784294E-31</v>
      </c>
      <c r="L31">
        <f t="shared" si="2"/>
        <v>8.8142367470185201E-19</v>
      </c>
      <c r="M31" s="4">
        <f t="shared" si="3"/>
        <v>9.1418323315984317E-35</v>
      </c>
      <c r="N31">
        <f>BINOMDIST($A31,90,'estadísticos descriptivos'!B$6/90,0)*'estadísticos descriptivos'!B$2</f>
        <v>5.7857396405660502E-19</v>
      </c>
      <c r="O31">
        <f>BINOMDIST($A31,90,'estadísticos descriptivos'!C$6/90,0)*'estadísticos descriptivos'!C$2</f>
        <v>4.3203196574609404E-33</v>
      </c>
      <c r="P31">
        <f>BINOMDIST($A31,90,'estadísticos descriptivos'!D$6/90,0)*'estadísticos descriptivos'!D$2</f>
        <v>2.200757636664492E-20</v>
      </c>
      <c r="Q31">
        <f>BINOMDIST($A31,90,'estadísticos descriptivos'!E$6/90,0)*'estadísticos descriptivos'!E$2</f>
        <v>1.3859456645566379E-36</v>
      </c>
      <c r="R31" s="3">
        <f t="shared" si="4"/>
        <v>5.7857396405660502E-19</v>
      </c>
      <c r="S31">
        <f t="shared" si="5"/>
        <v>4.3203196574609404E-33</v>
      </c>
      <c r="T31">
        <f t="shared" si="6"/>
        <v>2.200757636664492E-20</v>
      </c>
      <c r="U31">
        <f t="shared" si="7"/>
        <v>1.3859456645566379E-36</v>
      </c>
      <c r="V31" s="3">
        <f t="shared" si="13"/>
        <v>-1.8377956154608993E-32</v>
      </c>
      <c r="W31">
        <f t="shared" si="14"/>
        <v>5.4520849841838862E-12</v>
      </c>
      <c r="X31">
        <f t="shared" si="15"/>
        <v>4.27265424755353E-9</v>
      </c>
      <c r="Y31" s="4" t="e">
        <f t="shared" si="16"/>
        <v>#DIV/0!</v>
      </c>
      <c r="Z31">
        <f t="shared" si="8"/>
        <v>-1.8377956154608993E-32</v>
      </c>
      <c r="AA31">
        <f t="shared" si="9"/>
        <v>5.4520849841838854E-12</v>
      </c>
      <c r="AB31">
        <f t="shared" si="10"/>
        <v>4.27265424755353E-9</v>
      </c>
      <c r="AC31" s="4" t="e">
        <f t="shared" si="11"/>
        <v>#DIV/0!</v>
      </c>
    </row>
    <row r="32" spans="1:29">
      <c r="A32">
        <f t="shared" si="12"/>
        <v>28</v>
      </c>
      <c r="B32" s="3">
        <f>+COUNTIF(desglose!F:F,'pruebas de bondad de ajuste'!$A32)</f>
        <v>0</v>
      </c>
      <c r="C32">
        <f>+COUNTIF(desglose!G:G,'pruebas de bondad de ajuste'!$A32)</f>
        <v>0</v>
      </c>
      <c r="D32">
        <f>+COUNTIF(desglose!Q:Q,'pruebas de bondad de ajuste'!$A32)/'estadísticos descriptivos'!D$2</f>
        <v>0</v>
      </c>
      <c r="E32" s="4">
        <f>+COUNTIF(desglose!R:R,'pruebas de bondad de ajuste'!$A32)/'estadísticos descriptivos'!E$2</f>
        <v>0</v>
      </c>
      <c r="F32" s="3">
        <f>+_xlfn.POISSON.DIST($A32,'estadísticos descriptivos'!B$6,0)*'estadísticos descriptivos'!B$2</f>
        <v>1.9513085509192322E-18</v>
      </c>
      <c r="G32">
        <f>+_xlfn.POISSON.DIST($A32,'estadísticos descriptivos'!C$6,0)*'estadísticos descriptivos'!C$2</f>
        <v>7.0153127422815473E-33</v>
      </c>
      <c r="H32">
        <f>+_xlfn.POISSON.DIST($A32,'estadísticos descriptivos'!D$6,0)*'estadísticos descriptivos'!D$2</f>
        <v>7.1544129440085448E-20</v>
      </c>
      <c r="I32">
        <f>+_xlfn.POISSON.DIST($A32,'estadísticos descriptivos'!E$6,0)*'estadísticos descriptivos'!E$2</f>
        <v>1.7808764282334339E-36</v>
      </c>
      <c r="J32">
        <f t="shared" si="0"/>
        <v>1.9513085509192322E-18</v>
      </c>
      <c r="K32">
        <f t="shared" si="1"/>
        <v>7.0153127422815473E-33</v>
      </c>
      <c r="L32">
        <f t="shared" si="2"/>
        <v>7.1544129440085448E-20</v>
      </c>
      <c r="M32" s="4">
        <f t="shared" si="3"/>
        <v>1.7808764282334339E-36</v>
      </c>
      <c r="N32">
        <f>BINOMDIST($A32,90,'estadísticos descriptivos'!B$6/90,0)*'estadísticos descriptivos'!B$2</f>
        <v>3.7889978935099815E-20</v>
      </c>
      <c r="O32">
        <f>BINOMDIST($A32,90,'estadísticos descriptivos'!C$6/90,0)*'estadísticos descriptivos'!C$2</f>
        <v>7.9191195350609918E-35</v>
      </c>
      <c r="P32">
        <f>BINOMDIST($A32,90,'estadísticos descriptivos'!D$6/90,0)*'estadísticos descriptivos'!D$2</f>
        <v>1.2828250472785327E-21</v>
      </c>
      <c r="Q32">
        <f>BINOMDIST($A32,90,'estadísticos descriptivos'!E$6/90,0)*'estadísticos descriptivos'!E$2</f>
        <v>1.9014498446661673E-38</v>
      </c>
      <c r="R32" s="3">
        <f t="shared" si="4"/>
        <v>3.7889978935099815E-20</v>
      </c>
      <c r="S32">
        <f t="shared" si="5"/>
        <v>7.9191195350609918E-35</v>
      </c>
      <c r="T32">
        <f t="shared" si="6"/>
        <v>1.2828250472785329E-21</v>
      </c>
      <c r="U32">
        <f t="shared" si="7"/>
        <v>1.9014498446661673E-38</v>
      </c>
      <c r="V32" s="3">
        <f t="shared" si="13"/>
        <v>4.5914778766440045E-34</v>
      </c>
      <c r="W32">
        <f t="shared" si="14"/>
        <v>1.8098655317898001E-12</v>
      </c>
      <c r="X32">
        <f t="shared" si="15"/>
        <v>1.6925600206764756E-9</v>
      </c>
      <c r="Y32" s="4" t="e">
        <f t="shared" si="16"/>
        <v>#DIV/0!</v>
      </c>
      <c r="Z32">
        <f t="shared" si="8"/>
        <v>4.5914778766440045E-34</v>
      </c>
      <c r="AA32">
        <f t="shared" si="9"/>
        <v>1.8098655317898001E-12</v>
      </c>
      <c r="AB32">
        <f t="shared" si="10"/>
        <v>1.6925600206764756E-9</v>
      </c>
      <c r="AC32" s="4" t="e">
        <f t="shared" si="11"/>
        <v>#DIV/0!</v>
      </c>
    </row>
    <row r="33" spans="1:29">
      <c r="A33">
        <f t="shared" si="12"/>
        <v>29</v>
      </c>
      <c r="B33" s="3">
        <f>+COUNTIF(desglose!F:F,'pruebas de bondad de ajuste'!$A33)</f>
        <v>0</v>
      </c>
      <c r="C33">
        <f>+COUNTIF(desglose!G:G,'pruebas de bondad de ajuste'!$A33)</f>
        <v>0</v>
      </c>
      <c r="D33">
        <f>+COUNTIF(desglose!Q:Q,'pruebas de bondad de ajuste'!$A33)/'estadísticos descriptivos'!D$2</f>
        <v>0</v>
      </c>
      <c r="E33" s="4">
        <f>+COUNTIF(desglose!R:R,'pruebas de bondad de ajuste'!$A33)/'estadísticos descriptivos'!E$2</f>
        <v>0</v>
      </c>
      <c r="F33" s="3">
        <f>+_xlfn.POISSON.DIST($A33,'estadísticos descriptivos'!B$6,0)*'estadísticos descriptivos'!B$2</f>
        <v>1.712747317421277E-19</v>
      </c>
      <c r="G33">
        <f>+_xlfn.POISSON.DIST($A33,'estadísticos descriptivos'!C$6,0)*'estadísticos descriptivos'!C$2</f>
        <v>1.7593260795690641E-34</v>
      </c>
      <c r="H33">
        <f>+_xlfn.POISSON.DIST($A33,'estadísticos descriptivos'!D$6,0)*'estadísticos descriptivos'!D$2</f>
        <v>5.6069066959314447E-21</v>
      </c>
      <c r="I33">
        <f>+_xlfn.POISSON.DIST($A33,'estadísticos descriptivos'!E$6,0)*'estadísticos descriptivos'!E$2</f>
        <v>3.3496108368027468E-38</v>
      </c>
      <c r="J33">
        <f t="shared" si="0"/>
        <v>1.712747317421277E-19</v>
      </c>
      <c r="K33">
        <f t="shared" si="1"/>
        <v>1.7593260795690641E-34</v>
      </c>
      <c r="L33">
        <f t="shared" si="2"/>
        <v>5.6069066959314447E-21</v>
      </c>
      <c r="M33" s="4">
        <f t="shared" si="3"/>
        <v>3.3496108368027463E-38</v>
      </c>
      <c r="N33">
        <f>BINOMDIST($A33,90,'estadísticos descriptivos'!B$6/90,0)*'estadísticos descriptivos'!B$2</f>
        <v>2.3577677049011853E-21</v>
      </c>
      <c r="O33">
        <f>BINOMDIST($A33,90,'estadísticos descriptivos'!C$6/90,0)*'estadísticos descriptivos'!C$2</f>
        <v>1.3792693621006476E-36</v>
      </c>
      <c r="P33">
        <f>BINOMDIST($A33,90,'estadísticos descriptivos'!D$6/90,0)*'estadísticos descriptivos'!D$2</f>
        <v>7.1051592756180599E-23</v>
      </c>
      <c r="Q33">
        <f>BINOMDIST($A33,90,'estadísticos descriptivos'!E$6/90,0)*'estadísticos descriptivos'!E$2</f>
        <v>2.4787613618440168E-40</v>
      </c>
      <c r="R33" s="3">
        <f t="shared" si="4"/>
        <v>2.3577677049011853E-21</v>
      </c>
      <c r="S33">
        <f t="shared" si="5"/>
        <v>1.3792693621006476E-36</v>
      </c>
      <c r="T33">
        <f t="shared" si="6"/>
        <v>7.1051592756180599E-23</v>
      </c>
      <c r="U33">
        <f t="shared" si="7"/>
        <v>2.4787613618440168E-40</v>
      </c>
      <c r="V33" s="3">
        <f t="shared" si="13"/>
        <v>-1.3054923357376436E-35</v>
      </c>
      <c r="W33">
        <f t="shared" si="14"/>
        <v>6.0045969365696043E-13</v>
      </c>
      <c r="X33">
        <f t="shared" si="15"/>
        <v>6.6834614256481767E-10</v>
      </c>
      <c r="Y33" s="4" t="e">
        <f t="shared" si="16"/>
        <v>#DIV/0!</v>
      </c>
      <c r="Z33">
        <f t="shared" si="8"/>
        <v>-1.3054923357376436E-35</v>
      </c>
      <c r="AA33">
        <f t="shared" si="9"/>
        <v>6.0045969365696043E-13</v>
      </c>
      <c r="AB33">
        <f t="shared" si="10"/>
        <v>6.6834614256481767E-10</v>
      </c>
      <c r="AC33" s="4" t="e">
        <f t="shared" si="11"/>
        <v>#DIV/0!</v>
      </c>
    </row>
    <row r="34" spans="1:29">
      <c r="A34">
        <f t="shared" si="12"/>
        <v>30</v>
      </c>
      <c r="B34" s="3">
        <f>+COUNTIF(desglose!F:F,'pruebas de bondad de ajuste'!$A34)</f>
        <v>0</v>
      </c>
      <c r="C34">
        <f>+COUNTIF(desglose!G:G,'pruebas de bondad de ajuste'!$A34)</f>
        <v>0</v>
      </c>
      <c r="D34">
        <f>+COUNTIF(desglose!Q:Q,'pruebas de bondad de ajuste'!$A34)/'estadísticos descriptivos'!D$2</f>
        <v>0</v>
      </c>
      <c r="E34" s="4">
        <f>+COUNTIF(desglose!R:R,'pruebas de bondad de ajuste'!$A34)/'estadísticos descriptivos'!E$2</f>
        <v>0</v>
      </c>
      <c r="F34" s="3">
        <f>+_xlfn.POISSON.DIST($A34,'estadísticos descriptivos'!B$6,0)*'estadísticos descriptivos'!B$2</f>
        <v>1.4532401481150158E-20</v>
      </c>
      <c r="G34">
        <f>+_xlfn.POISSON.DIST($A34,'estadísticos descriptivos'!C$6,0)*'estadísticos descriptivos'!C$2</f>
        <v>4.2650329201674188E-36</v>
      </c>
      <c r="H34">
        <f>+_xlfn.POISSON.DIST($A34,'estadísticos descriptivos'!D$6,0)*'estadísticos descriptivos'!D$2</f>
        <v>4.2476565878268616E-22</v>
      </c>
      <c r="I34">
        <f>+_xlfn.POISSON.DIST($A34,'estadísticos descriptivos'!E$6,0)*'estadísticos descriptivos'!E$2</f>
        <v>6.0902015214595322E-40</v>
      </c>
      <c r="J34">
        <f t="shared" si="0"/>
        <v>1.4532401481150158E-20</v>
      </c>
      <c r="K34">
        <f t="shared" si="1"/>
        <v>4.2650329201674188E-36</v>
      </c>
      <c r="L34">
        <f t="shared" si="2"/>
        <v>4.2476565878268616E-22</v>
      </c>
      <c r="M34" s="4">
        <f t="shared" si="3"/>
        <v>6.0902015214595322E-40</v>
      </c>
      <c r="N34">
        <f>BINOMDIST($A34,90,'estadísticos descriptivos'!B$6/90,0)*'estadísticos descriptivos'!B$2</f>
        <v>1.3953801940302011E-22</v>
      </c>
      <c r="O34">
        <f>BINOMDIST($A34,90,'estadísticos descriptivos'!C$6/90,0)*'estadísticos descriptivos'!C$2</f>
        <v>2.2847367573154095E-38</v>
      </c>
      <c r="P34">
        <f>BINOMDIST($A34,90,'estadísticos descriptivos'!D$6/90,0)*'estadísticos descriptivos'!D$2</f>
        <v>3.742786837760808E-24</v>
      </c>
      <c r="Q34">
        <f>BINOMDIST($A34,90,'estadísticos descriptivos'!E$6/90,0)*'estadísticos descriptivos'!E$2</f>
        <v>3.0732610380586092E-42</v>
      </c>
      <c r="R34" s="3">
        <f t="shared" si="4"/>
        <v>1.3953801940302011E-22</v>
      </c>
      <c r="S34">
        <f t="shared" si="5"/>
        <v>2.2847367573154095E-38</v>
      </c>
      <c r="T34">
        <f t="shared" si="6"/>
        <v>3.742786837760808E-24</v>
      </c>
      <c r="U34">
        <f t="shared" si="7"/>
        <v>3.0732610380586092E-42</v>
      </c>
      <c r="V34" s="3">
        <f t="shared" si="13"/>
        <v>4.1331541923454695E-37</v>
      </c>
      <c r="W34">
        <f t="shared" si="14"/>
        <v>1.9910906094345019E-13</v>
      </c>
      <c r="X34">
        <f t="shared" si="15"/>
        <v>2.6312095033934233E-10</v>
      </c>
      <c r="Y34" s="4" t="e">
        <f t="shared" si="16"/>
        <v>#DIV/0!</v>
      </c>
      <c r="Z34">
        <f t="shared" si="8"/>
        <v>4.1331541923454695E-37</v>
      </c>
      <c r="AA34">
        <f t="shared" si="9"/>
        <v>1.9910906094345019E-13</v>
      </c>
      <c r="AB34">
        <f t="shared" si="10"/>
        <v>2.6312095033934233E-10</v>
      </c>
      <c r="AC34" s="4" t="e">
        <f t="shared" si="11"/>
        <v>#DIV/0!</v>
      </c>
    </row>
    <row r="35" spans="1:29">
      <c r="A35">
        <f t="shared" si="12"/>
        <v>31</v>
      </c>
      <c r="B35" s="3">
        <f>+COUNTIF(desglose!F:F,'pruebas de bondad de ajuste'!$A35)</f>
        <v>0</v>
      </c>
      <c r="C35">
        <f>+COUNTIF(desglose!G:G,'pruebas de bondad de ajuste'!$A35)</f>
        <v>0</v>
      </c>
      <c r="D35">
        <f>+COUNTIF(desglose!Q:Q,'pruebas de bondad de ajuste'!$A35)/'estadísticos descriptivos'!D$2</f>
        <v>0</v>
      </c>
      <c r="E35" s="4">
        <f>+COUNTIF(desglose!R:R,'pruebas de bondad de ajuste'!$A35)/'estadísticos descriptivos'!E$2</f>
        <v>0</v>
      </c>
      <c r="F35" s="3">
        <f>+_xlfn.POISSON.DIST($A35,'estadísticos descriptivos'!B$6,0)*'estadísticos descriptivos'!B$2</f>
        <v>1.1932763679536801E-21</v>
      </c>
      <c r="G35">
        <f>+_xlfn.POISSON.DIST($A35,'estadísticos descriptivos'!C$6,0)*'estadísticos descriptivos'!C$2</f>
        <v>1.0005942334703597E-37</v>
      </c>
      <c r="H35">
        <f>+_xlfn.POISSON.DIST($A35,'estadísticos descriptivos'!D$6,0)*'estadísticos descriptivos'!D$2</f>
        <v>3.1141177330109219E-23</v>
      </c>
      <c r="I35">
        <f>+_xlfn.POISSON.DIST($A35,'estadísticos descriptivos'!E$6,0)*'estadísticos descriptivos'!E$2</f>
        <v>1.0715897105207333E-41</v>
      </c>
      <c r="J35">
        <f t="shared" si="0"/>
        <v>1.1932763679536801E-21</v>
      </c>
      <c r="K35">
        <f t="shared" si="1"/>
        <v>1.0005942334703597E-37</v>
      </c>
      <c r="L35">
        <f t="shared" si="2"/>
        <v>3.1141177330109219E-23</v>
      </c>
      <c r="M35" s="4">
        <f t="shared" si="3"/>
        <v>1.0715897105207334E-41</v>
      </c>
      <c r="N35">
        <f>BINOMDIST($A35,90,'estadísticos descriptivos'!B$6/90,0)*'estadísticos descriptivos'!B$2</f>
        <v>7.8607696531781385E-24</v>
      </c>
      <c r="O35">
        <f>BINOMDIST($A35,90,'estadísticos descriptivos'!C$6/90,0)*'estadísticos descriptivos'!C$2</f>
        <v>3.6025019496465239E-40</v>
      </c>
      <c r="P35">
        <f>BINOMDIST($A35,90,'estadísticos descriptivos'!D$6/90,0)*'estadísticos descriptivos'!D$2</f>
        <v>1.8767107660509084E-25</v>
      </c>
      <c r="Q35">
        <f>BINOMDIST($A35,90,'estadísticos descriptivos'!E$6/90,0)*'estadísticos descriptivos'!E$2</f>
        <v>3.6269799819731735E-44</v>
      </c>
      <c r="R35" s="3">
        <f t="shared" si="4"/>
        <v>7.8607696531781385E-24</v>
      </c>
      <c r="S35">
        <f t="shared" si="5"/>
        <v>3.6025019496465239E-40</v>
      </c>
      <c r="T35">
        <f t="shared" si="6"/>
        <v>1.8767107660509084E-25</v>
      </c>
      <c r="U35">
        <f t="shared" si="7"/>
        <v>3.6269799819731735E-44</v>
      </c>
      <c r="V35" s="3">
        <f t="shared" si="13"/>
        <v>-1.4335784270021213E-38</v>
      </c>
      <c r="W35">
        <f t="shared" si="14"/>
        <v>6.5990601747495757E-14</v>
      </c>
      <c r="X35">
        <f t="shared" si="15"/>
        <v>1.0329610046836303E-10</v>
      </c>
      <c r="Y35" s="4" t="e">
        <f t="shared" si="16"/>
        <v>#DIV/0!</v>
      </c>
      <c r="Z35">
        <f t="shared" si="8"/>
        <v>-1.4335784270021213E-38</v>
      </c>
      <c r="AA35">
        <f t="shared" si="9"/>
        <v>6.5990601747495757E-14</v>
      </c>
      <c r="AB35">
        <f t="shared" si="10"/>
        <v>1.0329610046836303E-10</v>
      </c>
      <c r="AC35" s="4" t="e">
        <f t="shared" si="11"/>
        <v>#DIV/0!</v>
      </c>
    </row>
    <row r="36" spans="1:29">
      <c r="A36">
        <f t="shared" si="12"/>
        <v>32</v>
      </c>
      <c r="B36" s="3">
        <f>+COUNTIF(desglose!F:F,'pruebas de bondad de ajuste'!$A36)</f>
        <v>0</v>
      </c>
      <c r="C36">
        <f>+COUNTIF(desglose!G:G,'pruebas de bondad de ajuste'!$A36)</f>
        <v>0</v>
      </c>
      <c r="D36">
        <f>+COUNTIF(desglose!Q:Q,'pruebas de bondad de ajuste'!$A36)/'estadísticos descriptivos'!D$2</f>
        <v>0</v>
      </c>
      <c r="E36" s="4">
        <f>+COUNTIF(desglose!R:R,'pruebas de bondad de ajuste'!$A36)/'estadísticos descriptivos'!E$2</f>
        <v>0</v>
      </c>
      <c r="F36" s="3">
        <f>+_xlfn.POISSON.DIST($A36,'estadísticos descriptivos'!B$6,0)*'estadísticos descriptivos'!B$2</f>
        <v>9.4919711087225023E-23</v>
      </c>
      <c r="G36">
        <f>+_xlfn.POISSON.DIST($A36,'estadísticos descriptivos'!C$6,0)*'estadísticos descriptivos'!C$2</f>
        <v>2.2740778033417379E-39</v>
      </c>
      <c r="H36">
        <f>+_xlfn.POISSON.DIST($A36,'estadísticos descriptivos'!D$6,0)*'estadísticos descriptivos'!D$2</f>
        <v>2.211731344467979E-24</v>
      </c>
      <c r="I36">
        <f>+_xlfn.POISSON.DIST($A36,'estadísticos descriptivos'!E$6,0)*'estadísticos descriptivos'!E$2</f>
        <v>1.8265733702058067E-43</v>
      </c>
      <c r="J36">
        <f t="shared" si="0"/>
        <v>9.4919711087225023E-23</v>
      </c>
      <c r="K36">
        <f t="shared" si="1"/>
        <v>2.2740778033417379E-39</v>
      </c>
      <c r="L36">
        <f t="shared" si="2"/>
        <v>2.211731344467979E-24</v>
      </c>
      <c r="M36" s="4">
        <f t="shared" si="3"/>
        <v>1.8265733702058067E-43</v>
      </c>
      <c r="N36">
        <f>BINOMDIST($A36,90,'estadísticos descriptivos'!B$6/90,0)*'estadísticos descriptivos'!B$2</f>
        <v>4.2184223840469761E-25</v>
      </c>
      <c r="O36">
        <f>BINOMDIST($A36,90,'estadísticos descriptivos'!C$6/90,0)*'estadísticos descriptivos'!C$2</f>
        <v>5.411089995650261E-42</v>
      </c>
      <c r="P36">
        <f>BINOMDIST($A36,90,'estadísticos descriptivos'!D$6/90,0)*'estadísticos descriptivos'!D$2</f>
        <v>8.9642110748868484E-27</v>
      </c>
      <c r="Q36">
        <f>BINOMDIST($A36,90,'estadísticos descriptivos'!E$6/90,0)*'estadísticos descriptivos'!E$2</f>
        <v>4.0775880132701498E-46</v>
      </c>
      <c r="R36" s="3">
        <f t="shared" si="4"/>
        <v>4.2184223840469761E-25</v>
      </c>
      <c r="S36">
        <f t="shared" si="5"/>
        <v>5.411089995650261E-42</v>
      </c>
      <c r="T36">
        <f t="shared" si="6"/>
        <v>8.9642110748868484E-27</v>
      </c>
      <c r="U36">
        <f t="shared" si="7"/>
        <v>4.0775880132701498E-46</v>
      </c>
      <c r="V36" s="3">
        <f t="shared" si="13"/>
        <v>5.3797365455984996E-40</v>
      </c>
      <c r="W36">
        <f t="shared" si="14"/>
        <v>2.1861001431445309E-14</v>
      </c>
      <c r="X36">
        <f t="shared" si="15"/>
        <v>4.0444367895062044E-11</v>
      </c>
      <c r="Y36" s="4" t="e">
        <f t="shared" si="16"/>
        <v>#DIV/0!</v>
      </c>
      <c r="Z36">
        <f t="shared" si="8"/>
        <v>5.3797365455984988E-40</v>
      </c>
      <c r="AA36">
        <f t="shared" si="9"/>
        <v>2.1861001431445309E-14</v>
      </c>
      <c r="AB36">
        <f t="shared" si="10"/>
        <v>4.0444367895062044E-11</v>
      </c>
      <c r="AC36" s="4" t="e">
        <f t="shared" si="11"/>
        <v>#DIV/0!</v>
      </c>
    </row>
    <row r="37" spans="1:29">
      <c r="A37">
        <f t="shared" si="12"/>
        <v>33</v>
      </c>
      <c r="B37" s="3">
        <f>+COUNTIF(desglose!F:F,'pruebas de bondad de ajuste'!$A37)</f>
        <v>0</v>
      </c>
      <c r="C37">
        <f>+COUNTIF(desglose!G:G,'pruebas de bondad de ajuste'!$A37)</f>
        <v>0</v>
      </c>
      <c r="D37">
        <f>+COUNTIF(desglose!Q:Q,'pruebas de bondad de ajuste'!$A37)/'estadísticos descriptivos'!D$2</f>
        <v>0</v>
      </c>
      <c r="E37" s="4">
        <f>+COUNTIF(desglose!R:R,'pruebas de bondad de ajuste'!$A37)/'estadísticos descriptivos'!E$2</f>
        <v>0</v>
      </c>
      <c r="F37" s="3">
        <f>+_xlfn.POISSON.DIST($A37,'estadísticos descriptivos'!B$6,0)*'estadísticos descriptivos'!B$2</f>
        <v>7.3216306072789289E-24</v>
      </c>
      <c r="G37">
        <f>+_xlfn.POISSON.DIST($A37,'estadísticos descriptivos'!C$6,0)*'estadísticos descriptivos'!C$2</f>
        <v>5.011741715353588E-41</v>
      </c>
      <c r="H37">
        <f>+_xlfn.POISSON.DIST($A37,'estadísticos descriptivos'!D$6,0)*'estadísticos descriptivos'!D$2</f>
        <v>1.5232309534903479E-25</v>
      </c>
      <c r="I37">
        <f>+_xlfn.POISSON.DIST($A37,'estadísticos descriptivos'!E$6,0)*'estadísticos descriptivos'!E$2</f>
        <v>3.0191295375301991E-45</v>
      </c>
      <c r="J37">
        <f t="shared" si="0"/>
        <v>7.3216306072789289E-24</v>
      </c>
      <c r="K37">
        <f t="shared" si="1"/>
        <v>5.011741715353588E-41</v>
      </c>
      <c r="L37">
        <f t="shared" si="2"/>
        <v>1.5232309534903479E-25</v>
      </c>
      <c r="M37" s="4">
        <f t="shared" si="3"/>
        <v>3.0191295375301991E-45</v>
      </c>
      <c r="N37">
        <f>BINOMDIST($A37,90,'estadísticos descriptivos'!B$6/90,0)*'estadísticos descriptivos'!B$2</f>
        <v>2.1579783127613516E-26</v>
      </c>
      <c r="O37">
        <f>BINOMDIST($A37,90,'estadísticos descriptivos'!C$6/90,0)*'estadísticos descriptivos'!C$2</f>
        <v>7.7477805282409279E-44</v>
      </c>
      <c r="P37">
        <f>BINOMDIST($A37,90,'estadísticos descriptivos'!D$6/90,0)*'estadísticos descriptivos'!D$2</f>
        <v>4.08167877487396E-28</v>
      </c>
      <c r="Q37">
        <f>BINOMDIST($A37,90,'estadísticos descriptivos'!E$6/90,0)*'estadísticos descriptivos'!E$2</f>
        <v>4.3699206350641483E-48</v>
      </c>
      <c r="R37" s="3">
        <f t="shared" si="4"/>
        <v>2.1579783127613516E-26</v>
      </c>
      <c r="S37">
        <f t="shared" si="5"/>
        <v>7.7477805282409279E-44</v>
      </c>
      <c r="T37">
        <f t="shared" si="6"/>
        <v>4.08167877487396E-28</v>
      </c>
      <c r="U37">
        <f t="shared" si="7"/>
        <v>4.3699206350641483E-48</v>
      </c>
      <c r="V37" s="3">
        <f t="shared" si="13"/>
        <v>-2.1627209041526274E-41</v>
      </c>
      <c r="W37">
        <f t="shared" si="14"/>
        <v>7.2388033166606826E-15</v>
      </c>
      <c r="X37">
        <f t="shared" si="15"/>
        <v>1.57958463108586E-11</v>
      </c>
      <c r="Y37" s="4" t="e">
        <f t="shared" si="16"/>
        <v>#DIV/0!</v>
      </c>
      <c r="Z37">
        <f t="shared" si="8"/>
        <v>-2.1627209041526274E-41</v>
      </c>
      <c r="AA37">
        <f t="shared" si="9"/>
        <v>7.2388033166606826E-15</v>
      </c>
      <c r="AB37">
        <f t="shared" si="10"/>
        <v>1.57958463108586E-11</v>
      </c>
      <c r="AC37" s="4" t="e">
        <f t="shared" si="11"/>
        <v>#DIV/0!</v>
      </c>
    </row>
    <row r="38" spans="1:29">
      <c r="A38">
        <f t="shared" si="12"/>
        <v>34</v>
      </c>
      <c r="B38" s="3">
        <f>+COUNTIF(desglose!F:F,'pruebas de bondad de ajuste'!$A38)</f>
        <v>0</v>
      </c>
      <c r="C38">
        <f>+COUNTIF(desglose!G:G,'pruebas de bondad de ajuste'!$A38)</f>
        <v>0</v>
      </c>
      <c r="D38">
        <f>+COUNTIF(desglose!Q:Q,'pruebas de bondad de ajuste'!$A38)/'estadísticos descriptivos'!D$2</f>
        <v>0</v>
      </c>
      <c r="E38" s="4">
        <f>+COUNTIF(desglose!R:R,'pruebas de bondad de ajuste'!$A38)/'estadísticos descriptivos'!E$2</f>
        <v>0</v>
      </c>
      <c r="F38" s="3">
        <f>+_xlfn.POISSON.DIST($A38,'estadísticos descriptivos'!B$6,0)*'estadísticos descriptivos'!B$2</f>
        <v>5.4814346792463262E-25</v>
      </c>
      <c r="G38">
        <f>+_xlfn.POISSON.DIST($A38,'estadísticos descriptivos'!C$6,0)*'estadísticos descriptivos'!C$2</f>
        <v>1.0720303134446437E-42</v>
      </c>
      <c r="H38">
        <f>+_xlfn.POISSON.DIST($A38,'estadísticos descriptivos'!D$6,0)*'estadísticos descriptivos'!D$2</f>
        <v>1.0182025090176027E-26</v>
      </c>
      <c r="I38">
        <f>+_xlfn.POISSON.DIST($A38,'estadísticos descriptivos'!E$6,0)*'estadísticos descriptivos'!E$2</f>
        <v>4.843523322241065E-47</v>
      </c>
      <c r="J38">
        <f t="shared" si="0"/>
        <v>5.4814346792463262E-25</v>
      </c>
      <c r="K38">
        <f t="shared" si="1"/>
        <v>1.0720303134446438E-42</v>
      </c>
      <c r="L38">
        <f t="shared" si="2"/>
        <v>1.0182025090176027E-26</v>
      </c>
      <c r="M38" s="4">
        <f t="shared" si="3"/>
        <v>4.843523322241065E-47</v>
      </c>
      <c r="N38">
        <f>BINOMDIST($A38,90,'estadísticos descriptivos'!B$6/90,0)*'estadísticos descriptivos'!B$2</f>
        <v>1.0529941871001416E-27</v>
      </c>
      <c r="O38">
        <f>BINOMDIST($A38,90,'estadísticos descriptivos'!C$6/90,0)*'estadísticos descriptivos'!C$2</f>
        <v>1.0581609922360923E-45</v>
      </c>
      <c r="P38">
        <f>BINOMDIST($A38,90,'estadísticos descriptivos'!D$6/90,0)*'estadísticos descriptivos'!D$2</f>
        <v>1.7727498488861084E-29</v>
      </c>
      <c r="Q38">
        <f>BINOMDIST($A38,90,'estadísticos descriptivos'!E$6/90,0)*'estadísticos descriptivos'!E$2</f>
        <v>4.4670996448826474E-50</v>
      </c>
      <c r="R38" s="3">
        <f t="shared" si="4"/>
        <v>1.0529941871001416E-27</v>
      </c>
      <c r="S38">
        <f t="shared" si="5"/>
        <v>1.0581609922360923E-45</v>
      </c>
      <c r="T38">
        <f t="shared" si="6"/>
        <v>1.7727498488861084E-29</v>
      </c>
      <c r="U38">
        <f t="shared" si="7"/>
        <v>4.4670996448826474E-50</v>
      </c>
      <c r="V38" s="3">
        <f t="shared" si="13"/>
        <v>9.2397968557143703E-43</v>
      </c>
      <c r="W38">
        <f t="shared" si="14"/>
        <v>2.39597957488706E-15</v>
      </c>
      <c r="X38">
        <f t="shared" si="15"/>
        <v>6.15457693222788E-12</v>
      </c>
      <c r="Y38" s="4" t="e">
        <f t="shared" si="16"/>
        <v>#DIV/0!</v>
      </c>
      <c r="Z38">
        <f t="shared" si="8"/>
        <v>9.2397968557143703E-43</v>
      </c>
      <c r="AA38">
        <f t="shared" si="9"/>
        <v>2.39597957488706E-15</v>
      </c>
      <c r="AB38">
        <f t="shared" si="10"/>
        <v>6.15457693222788E-12</v>
      </c>
      <c r="AC38" s="4" t="e">
        <f t="shared" si="11"/>
        <v>#DIV/0!</v>
      </c>
    </row>
    <row r="39" spans="1:29">
      <c r="A39">
        <f t="shared" si="12"/>
        <v>35</v>
      </c>
      <c r="B39" s="3">
        <f>+COUNTIF(desglose!F:F,'pruebas de bondad de ajuste'!$A39)</f>
        <v>0</v>
      </c>
      <c r="C39">
        <f>+COUNTIF(desglose!G:G,'pruebas de bondad de ajuste'!$A39)</f>
        <v>0</v>
      </c>
      <c r="D39">
        <f>+COUNTIF(desglose!Q:Q,'pruebas de bondad de ajuste'!$A39)/'estadísticos descriptivos'!D$2</f>
        <v>0</v>
      </c>
      <c r="E39" s="4">
        <f>+COUNTIF(desglose!R:R,'pruebas de bondad de ajuste'!$A39)/'estadísticos descriptivos'!E$2</f>
        <v>0</v>
      </c>
      <c r="F39" s="3">
        <f>+_xlfn.POISSON.DIST($A39,'estadísticos descriptivos'!B$6,0)*'estadísticos descriptivos'!B$2</f>
        <v>3.9864979485427927E-26</v>
      </c>
      <c r="G39">
        <f>+_xlfn.POISSON.DIST($A39,'estadísticos descriptivos'!C$6,0)*'estadísticos descriptivos'!C$2</f>
        <v>2.2275954565083559E-44</v>
      </c>
      <c r="H39">
        <f>+_xlfn.POISSON.DIST($A39,'estadísticos descriptivos'!D$6,0)*'estadísticos descriptivos'!D$2</f>
        <v>6.6117046040104716E-28</v>
      </c>
      <c r="I39">
        <f>+_xlfn.POISSON.DIST($A39,'estadísticos descriptivos'!E$6,0)*'estadísticos descriptivos'!E$2</f>
        <v>7.5483480346614273E-49</v>
      </c>
      <c r="J39">
        <f t="shared" si="0"/>
        <v>3.9864979485427927E-26</v>
      </c>
      <c r="K39">
        <f t="shared" si="1"/>
        <v>2.2275954565083559E-44</v>
      </c>
      <c r="L39">
        <f t="shared" si="2"/>
        <v>6.6117046040104716E-28</v>
      </c>
      <c r="M39" s="4">
        <f t="shared" si="3"/>
        <v>7.5483480346614273E-49</v>
      </c>
      <c r="N39">
        <f>BINOMDIST($A39,90,'estadísticos descriptivos'!B$6/90,0)*'estadísticos descriptivos'!B$2</f>
        <v>4.9037567133145944E-29</v>
      </c>
      <c r="O39">
        <f>BINOMDIST($A39,90,'estadísticos descriptivos'!C$6/90,0)*'estadísticos descriptivos'!C$2</f>
        <v>1.3792729837700413E-47</v>
      </c>
      <c r="P39">
        <f>BINOMDIST($A39,90,'estadísticos descriptivos'!D$6/90,0)*'estadísticos descriptivos'!D$2</f>
        <v>7.3481859021186032E-31</v>
      </c>
      <c r="Q39">
        <f>BINOMDIST($A39,90,'estadísticos descriptivos'!E$6/90,0)*'estadísticos descriptivos'!E$2</f>
        <v>4.3581459950073398E-52</v>
      </c>
      <c r="R39" s="3">
        <f t="shared" si="4"/>
        <v>4.9037567133145944E-29</v>
      </c>
      <c r="S39">
        <f t="shared" si="5"/>
        <v>1.3792729837700413E-47</v>
      </c>
      <c r="T39">
        <f t="shared" si="6"/>
        <v>7.3481859021186032E-31</v>
      </c>
      <c r="U39">
        <f t="shared" si="7"/>
        <v>4.3581459950073398E-52</v>
      </c>
      <c r="V39" s="3">
        <f t="shared" si="13"/>
        <v>-4.1675825957223669E-44</v>
      </c>
      <c r="W39">
        <f t="shared" si="14"/>
        <v>7.9273678279157988E-16</v>
      </c>
      <c r="X39">
        <f t="shared" si="15"/>
        <v>2.3926485918952883E-12</v>
      </c>
      <c r="Y39" s="4" t="e">
        <f t="shared" si="16"/>
        <v>#DIV/0!</v>
      </c>
      <c r="Z39">
        <f t="shared" si="8"/>
        <v>-4.1675825957223669E-44</v>
      </c>
      <c r="AA39">
        <f t="shared" si="9"/>
        <v>7.9273678279157988E-16</v>
      </c>
      <c r="AB39">
        <f t="shared" si="10"/>
        <v>2.3926485918952883E-12</v>
      </c>
      <c r="AC39" s="4" t="e">
        <f t="shared" si="11"/>
        <v>#DIV/0!</v>
      </c>
    </row>
    <row r="40" spans="1:29">
      <c r="A40">
        <f t="shared" si="12"/>
        <v>36</v>
      </c>
      <c r="B40" s="3">
        <f>+COUNTIF(desglose!F:F,'pruebas de bondad de ajuste'!$A40)</f>
        <v>0</v>
      </c>
      <c r="C40">
        <f>+COUNTIF(desglose!G:G,'pruebas de bondad de ajuste'!$A40)</f>
        <v>0</v>
      </c>
      <c r="D40">
        <f>+COUNTIF(desglose!Q:Q,'pruebas de bondad de ajuste'!$A40)/'estadísticos descriptivos'!D$2</f>
        <v>0</v>
      </c>
      <c r="E40" s="4">
        <f>+COUNTIF(desglose!R:R,'pruebas de bondad de ajuste'!$A40)/'estadísticos descriptivos'!E$2</f>
        <v>0</v>
      </c>
      <c r="F40" s="3">
        <f>+_xlfn.POISSON.DIST($A40,'estadísticos descriptivos'!B$6,0)*'estadísticos descriptivos'!B$2</f>
        <v>2.8187359232120707E-27</v>
      </c>
      <c r="G40">
        <f>+_xlfn.POISSON.DIST($A40,'estadísticos descriptivos'!C$6,0)*'estadísticos descriptivos'!C$2</f>
        <v>4.500192841430963E-46</v>
      </c>
      <c r="H40">
        <f>+_xlfn.POISSON.DIST($A40,'estadísticos descriptivos'!D$6,0)*'estadísticos descriptivos'!D$2</f>
        <v>4.1740559368753504E-29</v>
      </c>
      <c r="I40">
        <f>+_xlfn.POISSON.DIST($A40,'estadísticos descriptivos'!E$6,0)*'estadísticos descriptivos'!E$2</f>
        <v>1.1436890961608084E-50</v>
      </c>
      <c r="J40">
        <f t="shared" si="0"/>
        <v>2.8187359232120707E-27</v>
      </c>
      <c r="K40">
        <f t="shared" si="1"/>
        <v>4.500192841430963E-46</v>
      </c>
      <c r="L40">
        <f t="shared" si="2"/>
        <v>4.1740559368753504E-29</v>
      </c>
      <c r="M40" s="4">
        <f t="shared" si="3"/>
        <v>1.1436890961608084E-50</v>
      </c>
      <c r="N40">
        <f>BINOMDIST($A40,90,'estadísticos descriptivos'!B$6/90,0)*'estadísticos descriptivos'!B$2</f>
        <v>2.1805801970733822E-30</v>
      </c>
      <c r="O40">
        <f>BINOMDIST($A40,90,'estadísticos descriptivos'!C$6/90,0)*'estadísticos descriptivos'!C$2</f>
        <v>1.7166783006868965E-49</v>
      </c>
      <c r="P40">
        <f>BINOMDIST($A40,90,'estadísticos descriptivos'!D$6/90,0)*'estadísticos descriptivos'!D$2</f>
        <v>2.9083925202686593E-32</v>
      </c>
      <c r="Q40">
        <f>BINOMDIST($A40,90,'estadísticos descriptivos'!E$6/90,0)*'estadísticos descriptivos'!E$2</f>
        <v>4.0599259777339469E-54</v>
      </c>
      <c r="R40" s="3">
        <f t="shared" si="4"/>
        <v>2.1805801970733822E-30</v>
      </c>
      <c r="S40">
        <f t="shared" si="5"/>
        <v>1.7166783006868965E-49</v>
      </c>
      <c r="T40">
        <f t="shared" si="6"/>
        <v>2.9083925202686593E-32</v>
      </c>
      <c r="U40">
        <f t="shared" si="7"/>
        <v>4.0599259777339475E-54</v>
      </c>
      <c r="V40" s="3">
        <f t="shared" si="13"/>
        <v>1.9736687330944923E-45</v>
      </c>
      <c r="W40">
        <f t="shared" si="14"/>
        <v>2.6218849032299816E-16</v>
      </c>
      <c r="X40">
        <f t="shared" si="15"/>
        <v>9.2818747586266079E-13</v>
      </c>
      <c r="Y40" s="4" t="e">
        <f t="shared" si="16"/>
        <v>#DIV/0!</v>
      </c>
      <c r="Z40">
        <f t="shared" si="8"/>
        <v>1.9736687330944923E-45</v>
      </c>
      <c r="AA40">
        <f t="shared" si="9"/>
        <v>2.6218849032299816E-16</v>
      </c>
      <c r="AB40">
        <f t="shared" si="10"/>
        <v>9.2818747586266079E-13</v>
      </c>
      <c r="AC40" s="4" t="e">
        <f t="shared" si="11"/>
        <v>#DIV/0!</v>
      </c>
    </row>
    <row r="41" spans="1:29">
      <c r="A41">
        <f t="shared" si="12"/>
        <v>37</v>
      </c>
      <c r="B41" s="3">
        <f>+COUNTIF(desglose!F:F,'pruebas de bondad de ajuste'!$A41)</f>
        <v>0</v>
      </c>
      <c r="C41">
        <f>+COUNTIF(desglose!G:G,'pruebas de bondad de ajuste'!$A41)</f>
        <v>0</v>
      </c>
      <c r="D41">
        <f>+COUNTIF(desglose!Q:Q,'pruebas de bondad de ajuste'!$A41)/'estadísticos descriptivos'!D$2</f>
        <v>0</v>
      </c>
      <c r="E41" s="4">
        <f>+COUNTIF(desglose!R:R,'pruebas de bondad de ajuste'!$A41)/'estadísticos descriptivos'!E$2</f>
        <v>0</v>
      </c>
      <c r="F41" s="3">
        <f>+_xlfn.POISSON.DIST($A41,'estadísticos descriptivos'!B$6,0)*'estadísticos descriptivos'!B$2</f>
        <v>1.9391795049124605E-28</v>
      </c>
      <c r="G41">
        <f>+_xlfn.POISSON.DIST($A41,'estadísticos descriptivos'!C$6,0)*'estadísticos descriptivos'!C$2</f>
        <v>8.8455878947048372E-48</v>
      </c>
      <c r="H41">
        <f>+_xlfn.POISSON.DIST($A41,'estadísticos descriptivos'!D$6,0)*'estadísticos descriptivos'!D$2</f>
        <v>2.5639164231420613E-30</v>
      </c>
      <c r="I41">
        <f>+_xlfn.POISSON.DIST($A41,'estadísticos descriptivos'!E$6,0)*'estadísticos descriptivos'!E$2</f>
        <v>1.6860281515884572E-52</v>
      </c>
      <c r="J41">
        <f t="shared" si="0"/>
        <v>1.9391795049124605E-28</v>
      </c>
      <c r="K41">
        <f t="shared" si="1"/>
        <v>8.8455878947048372E-48</v>
      </c>
      <c r="L41">
        <f t="shared" si="2"/>
        <v>2.5639164231420613E-30</v>
      </c>
      <c r="M41" s="4">
        <f t="shared" si="3"/>
        <v>1.6860281515884572E-52</v>
      </c>
      <c r="N41">
        <f>BINOMDIST($A41,90,'estadísticos descriptivos'!B$6/90,0)*'estadísticos descriptivos'!B$2</f>
        <v>9.2629017755095693E-32</v>
      </c>
      <c r="O41">
        <f>BINOMDIST($A41,90,'estadísticos descriptivos'!C$6/90,0)*'estadísticos descriptivos'!C$2</f>
        <v>2.0410772992148167E-51</v>
      </c>
      <c r="P41">
        <f>BINOMDIST($A41,90,'estadísticos descriptivos'!D$6/90,0)*'estadísticos descriptivos'!D$2</f>
        <v>1.0996582838153211E-33</v>
      </c>
      <c r="Q41">
        <f>BINOMDIST($A41,90,'estadísticos descriptivos'!E$6/90,0)*'estadísticos descriptivos'!E$2</f>
        <v>3.6129862029931058E-56</v>
      </c>
      <c r="R41" s="3">
        <f t="shared" si="4"/>
        <v>9.2629017755095693E-32</v>
      </c>
      <c r="S41">
        <f t="shared" si="5"/>
        <v>2.0410772992148165E-51</v>
      </c>
      <c r="T41">
        <f t="shared" si="6"/>
        <v>1.0996582838153211E-33</v>
      </c>
      <c r="U41">
        <f t="shared" si="7"/>
        <v>3.6129862029931058E-56</v>
      </c>
      <c r="V41" s="3">
        <f t="shared" si="13"/>
        <v>-9.7680819693786152E-47</v>
      </c>
      <c r="W41">
        <f t="shared" si="14"/>
        <v>8.6685285556551065E-17</v>
      </c>
      <c r="X41">
        <f t="shared" si="15"/>
        <v>3.5934811626208043E-13</v>
      </c>
      <c r="Y41" s="4" t="e">
        <f t="shared" si="16"/>
        <v>#DIV/0!</v>
      </c>
      <c r="Z41">
        <f t="shared" si="8"/>
        <v>-9.7680819693786152E-47</v>
      </c>
      <c r="AA41">
        <f t="shared" si="9"/>
        <v>8.6685285556551077E-17</v>
      </c>
      <c r="AB41">
        <f t="shared" si="10"/>
        <v>3.5934811626208043E-13</v>
      </c>
      <c r="AC41" s="4" t="e">
        <f t="shared" si="11"/>
        <v>#DIV/0!</v>
      </c>
    </row>
    <row r="42" spans="1:29">
      <c r="A42">
        <f t="shared" si="12"/>
        <v>38</v>
      </c>
      <c r="B42" s="3">
        <f>+COUNTIF(desglose!F:F,'pruebas de bondad de ajuste'!$A42)</f>
        <v>0</v>
      </c>
      <c r="C42">
        <f>+COUNTIF(desglose!G:G,'pruebas de bondad de ajuste'!$A42)</f>
        <v>0</v>
      </c>
      <c r="D42">
        <f>+COUNTIF(desglose!Q:Q,'pruebas de bondad de ajuste'!$A42)/'estadísticos descriptivos'!D$2</f>
        <v>0</v>
      </c>
      <c r="E42" s="4">
        <f>+COUNTIF(desglose!R:R,'pruebas de bondad de ajuste'!$A42)/'estadísticos descriptivos'!E$2</f>
        <v>0</v>
      </c>
      <c r="F42" s="3">
        <f>+_xlfn.POISSON.DIST($A42,'estadísticos descriptivos'!B$6,0)*'estadísticos descriptivos'!B$2</f>
        <v>1.2989719171662573E-29</v>
      </c>
      <c r="G42">
        <f>+_xlfn.POISSON.DIST($A42,'estadísticos descriptivos'!C$6,0)*'estadísticos descriptivos'!C$2</f>
        <v>1.6929354822401184E-49</v>
      </c>
      <c r="H42">
        <f>+_xlfn.POISSON.DIST($A42,'estadísticos descriptivos'!D$6,0)*'estadísticos descriptivos'!D$2</f>
        <v>1.5334428368074609E-31</v>
      </c>
      <c r="I42">
        <f>+_xlfn.POISSON.DIST($A42,'estadísticos descriptivos'!E$6,0)*'estadísticos descriptivos'!E$2</f>
        <v>2.4201361027584942E-54</v>
      </c>
      <c r="J42">
        <f t="shared" si="0"/>
        <v>1.2989719171662573E-29</v>
      </c>
      <c r="K42">
        <f t="shared" si="1"/>
        <v>1.6929354822401184E-49</v>
      </c>
      <c r="L42">
        <f t="shared" si="2"/>
        <v>1.5334428368074609E-31</v>
      </c>
      <c r="M42" s="4">
        <f t="shared" si="3"/>
        <v>2.4201361027584942E-54</v>
      </c>
      <c r="N42">
        <f>BINOMDIST($A42,90,'estadísticos descriptivos'!B$6/90,0)*'estadísticos descriptivos'!B$2</f>
        <v>3.7602982369121892E-33</v>
      </c>
      <c r="O42">
        <f>BINOMDIST($A42,90,'estadísticos descriptivos'!C$6/90,0)*'estadísticos descriptivos'!C$2</f>
        <v>2.319157398614723E-53</v>
      </c>
      <c r="P42">
        <f>BINOMDIST($A42,90,'estadísticos descriptivos'!D$6/90,0)*'estadísticos descriptivos'!D$2</f>
        <v>3.9734039434286377E-35</v>
      </c>
      <c r="Q42">
        <f>BINOMDIST($A42,90,'estadísticos descriptivos'!E$6/90,0)*'estadísticos descriptivos'!E$2</f>
        <v>3.0726615654466371E-58</v>
      </c>
      <c r="R42" s="3">
        <f t="shared" si="4"/>
        <v>3.7602982369121892E-33</v>
      </c>
      <c r="S42">
        <f t="shared" si="5"/>
        <v>2.319157398614723E-53</v>
      </c>
      <c r="T42">
        <f t="shared" si="6"/>
        <v>3.9734039434286371E-35</v>
      </c>
      <c r="U42">
        <f t="shared" si="7"/>
        <v>3.0726615654466371E-58</v>
      </c>
      <c r="V42" s="3">
        <f t="shared" si="13"/>
        <v>5.0322142877717982E-48</v>
      </c>
      <c r="W42">
        <f t="shared" si="14"/>
        <v>2.8650491876990375E-17</v>
      </c>
      <c r="X42">
        <f t="shared" si="15"/>
        <v>1.3885491709559916E-13</v>
      </c>
      <c r="Y42" s="4" t="e">
        <f t="shared" si="16"/>
        <v>#DIV/0!</v>
      </c>
      <c r="Z42">
        <f t="shared" si="8"/>
        <v>5.0322142877717982E-48</v>
      </c>
      <c r="AA42">
        <f t="shared" si="9"/>
        <v>2.8650491876990375E-17</v>
      </c>
      <c r="AB42">
        <f t="shared" si="10"/>
        <v>1.3885491709559916E-13</v>
      </c>
      <c r="AC42" s="4" t="e">
        <f t="shared" si="11"/>
        <v>#DIV/0!</v>
      </c>
    </row>
    <row r="43" spans="1:29">
      <c r="A43">
        <f t="shared" si="12"/>
        <v>39</v>
      </c>
      <c r="B43" s="3">
        <f>+COUNTIF(desglose!F:F,'pruebas de bondad de ajuste'!$A43)</f>
        <v>0</v>
      </c>
      <c r="C43">
        <f>+COUNTIF(desglose!G:G,'pruebas de bondad de ajuste'!$A43)</f>
        <v>0</v>
      </c>
      <c r="D43">
        <f>+COUNTIF(desglose!Q:Q,'pruebas de bondad de ajuste'!$A43)/'estadísticos descriptivos'!D$2</f>
        <v>0</v>
      </c>
      <c r="E43" s="4">
        <f>+COUNTIF(desglose!R:R,'pruebas de bondad de ajuste'!$A43)/'estadísticos descriptivos'!E$2</f>
        <v>0</v>
      </c>
      <c r="F43" s="3">
        <f>+_xlfn.POISSON.DIST($A43,'estadísticos descriptivos'!B$6,0)*'estadísticos descriptivos'!B$2</f>
        <v>8.4781383870990239E-31</v>
      </c>
      <c r="G43">
        <f>+_xlfn.POISSON.DIST($A43,'estadísticos descriptivos'!C$6,0)*'estadísticos descriptivos'!C$2</f>
        <v>3.1569892442706494E-51</v>
      </c>
      <c r="H43">
        <f>+_xlfn.POISSON.DIST($A43,'estadísticos descriptivos'!D$6,0)*'estadísticos descriptivos'!D$2</f>
        <v>8.9361470676425105E-33</v>
      </c>
      <c r="I43">
        <f>+_xlfn.POISSON.DIST($A43,'estadísticos descriptivos'!E$6,0)*'estadísticos descriptivos'!E$2</f>
        <v>3.3848057381238046E-56</v>
      </c>
      <c r="J43">
        <f t="shared" si="0"/>
        <v>8.4781383870990239E-31</v>
      </c>
      <c r="K43">
        <f t="shared" si="1"/>
        <v>3.1569892442706494E-51</v>
      </c>
      <c r="L43">
        <f t="shared" si="2"/>
        <v>8.9361470676425105E-33</v>
      </c>
      <c r="M43" s="4">
        <f t="shared" si="3"/>
        <v>3.3848057381238042E-56</v>
      </c>
      <c r="N43">
        <f>BINOMDIST($A43,90,'estadísticos descriptivos'!B$6/90,0)*'estadísticos descriptivos'!B$2</f>
        <v>1.4592979990789039E-34</v>
      </c>
      <c r="O43">
        <f>BINOMDIST($A43,90,'estadísticos descriptivos'!C$6/90,0)*'estadísticos descriptivos'!C$2</f>
        <v>2.5191119061667797E-55</v>
      </c>
      <c r="P43">
        <f>BINOMDIST($A43,90,'estadísticos descriptivos'!D$6/90,0)*'estadísticos descriptivos'!D$2</f>
        <v>1.372505679940831E-36</v>
      </c>
      <c r="Q43">
        <f>BINOMDIST($A43,90,'estadísticos descriptivos'!E$6/90,0)*'estadísticos descriptivos'!E$2</f>
        <v>2.4980988336965605E-60</v>
      </c>
      <c r="R43" s="3">
        <f t="shared" si="4"/>
        <v>1.4592979990789039E-34</v>
      </c>
      <c r="S43">
        <f t="shared" si="5"/>
        <v>2.5191119061667797E-55</v>
      </c>
      <c r="T43">
        <f t="shared" si="6"/>
        <v>1.372505679940831E-36</v>
      </c>
      <c r="U43">
        <f t="shared" si="7"/>
        <v>2.4980988336965605E-60</v>
      </c>
      <c r="V43" s="3">
        <f t="shared" si="13"/>
        <v>-2.6892443540387946E-49</v>
      </c>
      <c r="W43">
        <f t="shared" si="14"/>
        <v>9.4663144333280879E-18</v>
      </c>
      <c r="X43">
        <f t="shared" si="15"/>
        <v>5.3556671763295369E-14</v>
      </c>
      <c r="Y43" s="4" t="e">
        <f t="shared" si="16"/>
        <v>#DIV/0!</v>
      </c>
      <c r="Z43">
        <f t="shared" si="8"/>
        <v>-2.6892443540387942E-49</v>
      </c>
      <c r="AA43">
        <f t="shared" si="9"/>
        <v>9.4663144333280879E-18</v>
      </c>
      <c r="AB43">
        <f t="shared" si="10"/>
        <v>5.3556671763295369E-14</v>
      </c>
      <c r="AC43" s="4" t="e">
        <f t="shared" si="11"/>
        <v>#DIV/0!</v>
      </c>
    </row>
    <row r="44" spans="1:29">
      <c r="A44">
        <f t="shared" si="12"/>
        <v>40</v>
      </c>
      <c r="B44" s="3">
        <f>+COUNTIF(desglose!F:F,'pruebas de bondad de ajuste'!$A44)</f>
        <v>0</v>
      </c>
      <c r="C44">
        <f>+COUNTIF(desglose!G:G,'pruebas de bondad de ajuste'!$A44)</f>
        <v>0</v>
      </c>
      <c r="D44">
        <f>+COUNTIF(desglose!Q:Q,'pruebas de bondad de ajuste'!$A44)/'estadísticos descriptivos'!D$2</f>
        <v>0</v>
      </c>
      <c r="E44" s="4">
        <f>+COUNTIF(desglose!R:R,'pruebas de bondad de ajuste'!$A44)/'estadísticos descriptivos'!E$2</f>
        <v>0</v>
      </c>
      <c r="F44" s="3">
        <f>+_xlfn.POISSON.DIST($A44,'estadísticos descriptivos'!B$6,0)*'estadísticos descriptivos'!B$2</f>
        <v>5.3951789736084552E-32</v>
      </c>
      <c r="G44">
        <f>+_xlfn.POISSON.DIST($A44,'estadísticos descriptivos'!C$6,0)*'estadísticos descriptivos'!C$2</f>
        <v>5.7399804441284053E-53</v>
      </c>
      <c r="H44">
        <f>+_xlfn.POISSON.DIST($A44,'estadísticos descriptivos'!D$6,0)*'estadísticos descriptivos'!D$2</f>
        <v>5.0773562884332664E-34</v>
      </c>
      <c r="I44">
        <f>+_xlfn.POISSON.DIST($A44,'estadísticos descriptivos'!E$6,0)*'estadísticos descriptivos'!E$2</f>
        <v>4.6156441883505932E-58</v>
      </c>
      <c r="J44">
        <f t="shared" si="0"/>
        <v>5.3951789736084552E-32</v>
      </c>
      <c r="K44">
        <f t="shared" si="1"/>
        <v>5.7399804441284053E-53</v>
      </c>
      <c r="L44">
        <f t="shared" si="2"/>
        <v>5.0773562884332664E-34</v>
      </c>
      <c r="M44" s="4">
        <f t="shared" si="3"/>
        <v>4.6156441883505932E-58</v>
      </c>
      <c r="N44">
        <f>BINOMDIST($A44,90,'estadísticos descriptivos'!B$6/90,0)*'estadísticos descriptivos'!B$2</f>
        <v>5.4154821795339043E-36</v>
      </c>
      <c r="O44">
        <f>BINOMDIST($A44,90,'estadísticos descriptivos'!C$6/90,0)*'estadísticos descriptivos'!C$2</f>
        <v>2.6165928149593491E-57</v>
      </c>
      <c r="P44">
        <f>BINOMDIST($A44,90,'estadísticos descriptivos'!D$6/90,0)*'estadísticos descriptivos'!D$2</f>
        <v>4.5335356008407727E-38</v>
      </c>
      <c r="Q44">
        <f>BINOMDIST($A44,90,'estadísticos descriptivos'!E$6/90,0)*'estadísticos descriptivos'!E$2</f>
        <v>1.9421195200994883E-62</v>
      </c>
      <c r="R44" s="3">
        <f t="shared" si="4"/>
        <v>5.4154821795339043E-36</v>
      </c>
      <c r="S44">
        <f t="shared" si="5"/>
        <v>2.6165928149593491E-57</v>
      </c>
      <c r="T44">
        <f t="shared" si="6"/>
        <v>4.5335356008407727E-38</v>
      </c>
      <c r="U44">
        <f t="shared" si="7"/>
        <v>1.9421195200994883E-62</v>
      </c>
      <c r="V44" s="3">
        <f t="shared" si="13"/>
        <v>1.4863562152712901E-50</v>
      </c>
      <c r="W44">
        <f t="shared" si="14"/>
        <v>3.1267891670080314E-18</v>
      </c>
      <c r="X44">
        <f t="shared" si="15"/>
        <v>2.062099827229165E-14</v>
      </c>
      <c r="Y44" s="4" t="e">
        <f t="shared" si="16"/>
        <v>#DIV/0!</v>
      </c>
      <c r="Z44">
        <f t="shared" si="8"/>
        <v>1.4863562152712901E-50</v>
      </c>
      <c r="AA44">
        <f t="shared" si="9"/>
        <v>3.1267891670080314E-18</v>
      </c>
      <c r="AB44">
        <f t="shared" si="10"/>
        <v>2.062099827229165E-14</v>
      </c>
      <c r="AC44" s="4" t="e">
        <f t="shared" si="11"/>
        <v>#DIV/0!</v>
      </c>
    </row>
    <row r="45" spans="1:29">
      <c r="A45">
        <f t="shared" si="12"/>
        <v>41</v>
      </c>
      <c r="B45" s="3">
        <f>+COUNTIF(desglose!F:F,'pruebas de bondad de ajuste'!$A45)</f>
        <v>0</v>
      </c>
      <c r="C45">
        <f>+COUNTIF(desglose!G:G,'pruebas de bondad de ajuste'!$A45)</f>
        <v>0</v>
      </c>
      <c r="D45">
        <f>+COUNTIF(desglose!Q:Q,'pruebas de bondad de ajuste'!$A45)/'estadísticos descriptivos'!D$2</f>
        <v>0</v>
      </c>
      <c r="E45" s="4">
        <f>+COUNTIF(desglose!R:R,'pruebas de bondad de ajuste'!$A45)/'estadísticos descriptivos'!E$2</f>
        <v>0</v>
      </c>
      <c r="F45" s="3">
        <f>+_xlfn.POISSON.DIST($A45,'estadísticos descriptivos'!B$6,0)*'estadísticos descriptivos'!B$2</f>
        <v>3.3495567907103821E-33</v>
      </c>
      <c r="G45">
        <f>+_xlfn.POISSON.DIST($A45,'estadísticos descriptivos'!C$6,0)*'estadísticos descriptivos'!C$2</f>
        <v>1.0181783492910742E-54</v>
      </c>
      <c r="H45">
        <f>+_xlfn.POISSON.DIST($A45,'estadísticos descriptivos'!D$6,0)*'estadísticos descriptivos'!D$2</f>
        <v>2.81449905123792E-35</v>
      </c>
      <c r="I45">
        <f>+_xlfn.POISSON.DIST($A45,'estadísticos descriptivos'!E$6,0)*'estadísticos descriptivos'!E$2</f>
        <v>6.1405465920407462E-60</v>
      </c>
      <c r="J45">
        <f t="shared" si="0"/>
        <v>3.3495567907103821E-33</v>
      </c>
      <c r="K45">
        <f t="shared" si="1"/>
        <v>1.0181783492910742E-54</v>
      </c>
      <c r="L45">
        <f t="shared" si="2"/>
        <v>2.81449905123792E-35</v>
      </c>
      <c r="M45" s="4">
        <f t="shared" si="3"/>
        <v>6.1405465920407462E-60</v>
      </c>
      <c r="N45">
        <f>BINOMDIST($A45,90,'estadísticos descriptivos'!B$6/90,0)*'estadísticos descriptivos'!B$2</f>
        <v>1.9222339261060605E-37</v>
      </c>
      <c r="O45">
        <f>BINOMDIST($A45,90,'estadísticos descriptivos'!C$6/90,0)*'estadísticos descriptivos'!C$2</f>
        <v>2.5995656598871813E-59</v>
      </c>
      <c r="P45">
        <f>BINOMDIST($A45,90,'estadísticos descriptivos'!D$6/90,0)*'estadísticos descriptivos'!D$2</f>
        <v>1.4323062052447709E-39</v>
      </c>
      <c r="Q45">
        <f>BINOMDIST($A45,90,'estadísticos descriptivos'!E$6/90,0)*'estadísticos descriptivos'!E$2</f>
        <v>1.4441697799669717E-64</v>
      </c>
      <c r="R45" s="3">
        <f t="shared" si="4"/>
        <v>1.9222339261060605E-37</v>
      </c>
      <c r="S45">
        <f t="shared" si="5"/>
        <v>2.5995656598871813E-59</v>
      </c>
      <c r="T45">
        <f t="shared" si="6"/>
        <v>1.4323062052447709E-39</v>
      </c>
      <c r="U45">
        <f t="shared" si="7"/>
        <v>1.4441697799669717E-64</v>
      </c>
      <c r="V45" s="3">
        <f t="shared" si="13"/>
        <v>-8.474176967457149E-52</v>
      </c>
      <c r="W45">
        <f t="shared" si="14"/>
        <v>1.0325029710058646E-18</v>
      </c>
      <c r="X45">
        <f t="shared" si="15"/>
        <v>7.9265529298025572E-15</v>
      </c>
      <c r="Y45" s="4" t="e">
        <f t="shared" si="16"/>
        <v>#DIV/0!</v>
      </c>
      <c r="Z45">
        <f t="shared" si="8"/>
        <v>-8.474176967457149E-52</v>
      </c>
      <c r="AA45">
        <f t="shared" si="9"/>
        <v>1.0325029710058646E-18</v>
      </c>
      <c r="AB45">
        <f t="shared" si="10"/>
        <v>7.9265529298025572E-15</v>
      </c>
      <c r="AC45" s="4" t="e">
        <f t="shared" si="11"/>
        <v>#DIV/0!</v>
      </c>
    </row>
    <row r="46" spans="1:29">
      <c r="A46">
        <f t="shared" si="12"/>
        <v>42</v>
      </c>
      <c r="B46" s="3">
        <f>+COUNTIF(desglose!F:F,'pruebas de bondad de ajuste'!$A46)</f>
        <v>0</v>
      </c>
      <c r="C46">
        <f>+COUNTIF(desglose!G:G,'pruebas de bondad de ajuste'!$A46)</f>
        <v>0</v>
      </c>
      <c r="D46">
        <f>+COUNTIF(desglose!Q:Q,'pruebas de bondad de ajuste'!$A46)/'estadísticos descriptivos'!D$2</f>
        <v>0</v>
      </c>
      <c r="E46" s="4">
        <f>+COUNTIF(desglose!R:R,'pruebas de bondad de ajuste'!$A46)/'estadísticos descriptivos'!E$2</f>
        <v>0</v>
      </c>
      <c r="F46" s="3">
        <f>+_xlfn.POISSON.DIST($A46,'estadísticos descriptivos'!B$6,0)*'estadísticos descriptivos'!B$2</f>
        <v>2.030034418612358E-34</v>
      </c>
      <c r="G46">
        <f>+_xlfn.POISSON.DIST($A46,'estadísticos descriptivos'!C$6,0)*'estadísticos descriptivos'!C$2</f>
        <v>1.7630793927118271E-56</v>
      </c>
      <c r="H46">
        <f>+_xlfn.POISSON.DIST($A46,'estadísticos descriptivos'!D$6,0)*'estadísticos descriptivos'!D$2</f>
        <v>1.5229973220984561E-36</v>
      </c>
      <c r="I46">
        <f>+_xlfn.POISSON.DIST($A46,'estadísticos descriptivos'!E$6,0)*'estadísticos descriptivos'!E$2</f>
        <v>7.9747358338192036E-62</v>
      </c>
      <c r="J46">
        <f t="shared" si="0"/>
        <v>2.030034418612358E-34</v>
      </c>
      <c r="K46">
        <f t="shared" si="1"/>
        <v>1.7630793927118271E-56</v>
      </c>
      <c r="L46">
        <f t="shared" si="2"/>
        <v>1.5229973220984561E-36</v>
      </c>
      <c r="M46" s="4">
        <f t="shared" si="3"/>
        <v>7.9747358338192036E-62</v>
      </c>
      <c r="N46">
        <f>BINOMDIST($A46,90,'estadísticos descriptivos'!B$6/90,0)*'estadísticos descriptivos'!B$2</f>
        <v>6.5273362702146136E-39</v>
      </c>
      <c r="O46">
        <f>BINOMDIST($A46,90,'estadísticos descriptivos'!C$6/90,0)*'estadísticos descriptivos'!C$2</f>
        <v>2.4707345036265765E-61</v>
      </c>
      <c r="P46">
        <f>BINOMDIST($A46,90,'estadísticos descriptivos'!D$6/90,0)*'estadísticos descriptivos'!D$2</f>
        <v>4.3290774769919075E-41</v>
      </c>
      <c r="Q46">
        <f>BINOMDIST($A46,90,'estadísticos descriptivos'!E$6/90,0)*'estadísticos descriptivos'!E$2</f>
        <v>1.0273565507894379E-66</v>
      </c>
      <c r="R46" s="3">
        <f t="shared" si="4"/>
        <v>6.5273362702146136E-39</v>
      </c>
      <c r="S46">
        <f t="shared" si="5"/>
        <v>2.4707345036265765E-61</v>
      </c>
      <c r="T46">
        <f t="shared" si="6"/>
        <v>4.3290774769919075E-41</v>
      </c>
      <c r="U46">
        <f t="shared" si="7"/>
        <v>1.0273565507894379E-66</v>
      </c>
      <c r="V46" s="3">
        <f t="shared" si="13"/>
        <v>4.9722006926921646E-53</v>
      </c>
      <c r="W46">
        <f t="shared" si="14"/>
        <v>3.4085120889954365E-19</v>
      </c>
      <c r="X46">
        <f t="shared" si="15"/>
        <v>3.0420759421972623E-15</v>
      </c>
      <c r="Y46" s="4" t="e">
        <f t="shared" si="16"/>
        <v>#DIV/0!</v>
      </c>
      <c r="Z46">
        <f t="shared" si="8"/>
        <v>4.9722006926921646E-53</v>
      </c>
      <c r="AA46">
        <f t="shared" si="9"/>
        <v>3.4085120889954365E-19</v>
      </c>
      <c r="AB46">
        <f t="shared" si="10"/>
        <v>3.0420759421972623E-15</v>
      </c>
      <c r="AC46" s="4" t="e">
        <f t="shared" si="11"/>
        <v>#DIV/0!</v>
      </c>
    </row>
    <row r="47" spans="1:29">
      <c r="A47">
        <f t="shared" si="12"/>
        <v>43</v>
      </c>
      <c r="B47" s="3">
        <f>+COUNTIF(desglose!F:F,'pruebas de bondad de ajuste'!$A47)</f>
        <v>0</v>
      </c>
      <c r="C47">
        <f>+COUNTIF(desglose!G:G,'pruebas de bondad de ajuste'!$A47)</f>
        <v>0</v>
      </c>
      <c r="D47">
        <f>+COUNTIF(desglose!Q:Q,'pruebas de bondad de ajuste'!$A47)/'estadísticos descriptivos'!D$2</f>
        <v>0</v>
      </c>
      <c r="E47" s="4">
        <f>+COUNTIF(desglose!R:R,'pruebas de bondad de ajuste'!$A47)/'estadísticos descriptivos'!E$2</f>
        <v>0</v>
      </c>
      <c r="F47" s="3">
        <f>+_xlfn.POISSON.DIST($A47,'estadísticos descriptivos'!B$6,0)*'estadísticos descriptivos'!B$2</f>
        <v>1.2017117065781438E-35</v>
      </c>
      <c r="G47">
        <f>+_xlfn.POISSON.DIST($A47,'estadísticos descriptivos'!C$6,0)*'estadísticos descriptivos'!C$2</f>
        <v>2.9819524612461573E-58</v>
      </c>
      <c r="H47">
        <f>+_xlfn.POISSON.DIST($A47,'estadísticos descriptivos'!D$6,0)*'estadísticos descriptivos'!D$2</f>
        <v>8.0496687214506973E-38</v>
      </c>
      <c r="I47">
        <f>+_xlfn.POISSON.DIST($A47,'estadísticos descriptivos'!E$6,0)*'estadísticos descriptivos'!E$2</f>
        <v>1.0115943975246112E-63</v>
      </c>
      <c r="J47">
        <f t="shared" si="0"/>
        <v>1.2017117065781438E-35</v>
      </c>
      <c r="K47">
        <f t="shared" si="1"/>
        <v>2.9819524612461573E-58</v>
      </c>
      <c r="L47">
        <f t="shared" si="2"/>
        <v>8.0496687214506973E-38</v>
      </c>
      <c r="M47" s="4">
        <f t="shared" si="3"/>
        <v>1.0115943975246112E-63</v>
      </c>
      <c r="N47">
        <f>BINOMDIST($A47,90,'estadísticos descriptivos'!B$6/90,0)*'estadísticos descriptivos'!B$2</f>
        <v>2.1207609986869961E-40</v>
      </c>
      <c r="O47">
        <f>BINOMDIST($A47,90,'estadísticos descriptivos'!C$6/90,0)*'estadísticos descriptivos'!C$2</f>
        <v>2.246866976253081E-63</v>
      </c>
      <c r="P47">
        <f>BINOMDIST($A47,90,'estadísticos descriptivos'!D$6/90,0)*'estadísticos descriptivos'!D$2</f>
        <v>1.2519322743440311E-42</v>
      </c>
      <c r="Q47">
        <f>BINOMDIST($A47,90,'estadísticos descriptivos'!E$6/90,0)*'estadísticos descriptivos'!E$2</f>
        <v>6.9927842367971275E-69</v>
      </c>
      <c r="R47" s="3">
        <f t="shared" si="4"/>
        <v>2.1207609986869961E-40</v>
      </c>
      <c r="S47">
        <f t="shared" si="5"/>
        <v>2.246866976253081E-63</v>
      </c>
      <c r="T47">
        <f t="shared" si="6"/>
        <v>1.2519322743440311E-42</v>
      </c>
      <c r="U47">
        <f t="shared" si="7"/>
        <v>6.9927842367971275E-69</v>
      </c>
      <c r="V47" s="3">
        <f t="shared" si="13"/>
        <v>-2.996289933836547E-54</v>
      </c>
      <c r="W47">
        <f t="shared" si="14"/>
        <v>1.1249275978796377E-19</v>
      </c>
      <c r="X47">
        <f t="shared" si="15"/>
        <v>1.1657275088770117E-15</v>
      </c>
      <c r="Y47" s="4" t="e">
        <f t="shared" si="16"/>
        <v>#DIV/0!</v>
      </c>
      <c r="Z47">
        <f t="shared" si="8"/>
        <v>-2.996289933836547E-54</v>
      </c>
      <c r="AA47">
        <f t="shared" si="9"/>
        <v>1.1249275978796377E-19</v>
      </c>
      <c r="AB47">
        <f t="shared" si="10"/>
        <v>1.1657275088770117E-15</v>
      </c>
      <c r="AC47" s="4" t="e">
        <f t="shared" si="11"/>
        <v>#DIV/0!</v>
      </c>
    </row>
    <row r="48" spans="1:29">
      <c r="A48">
        <f t="shared" si="12"/>
        <v>44</v>
      </c>
      <c r="B48" s="3">
        <f>+COUNTIF(desglose!F:F,'pruebas de bondad de ajuste'!$A48)</f>
        <v>0</v>
      </c>
      <c r="C48">
        <f>+COUNTIF(desglose!G:G,'pruebas de bondad de ajuste'!$A48)</f>
        <v>0</v>
      </c>
      <c r="D48">
        <f>+COUNTIF(desglose!Q:Q,'pruebas de bondad de ajuste'!$A48)/'estadísticos descriptivos'!D$2</f>
        <v>0</v>
      </c>
      <c r="E48" s="4">
        <f>+COUNTIF(desglose!R:R,'pruebas de bondad de ajuste'!$A48)/'estadísticos descriptivos'!E$2</f>
        <v>0</v>
      </c>
      <c r="F48" s="3">
        <f>+_xlfn.POISSON.DIST($A48,'estadísticos descriptivos'!B$6,0)*'estadísticos descriptivos'!B$2</f>
        <v>6.9520511950801297E-37</v>
      </c>
      <c r="G48">
        <f>+_xlfn.POISSON.DIST($A48,'estadísticos descriptivos'!C$6,0)*'estadísticos descriptivos'!C$2</f>
        <v>4.9288470433821563E-60</v>
      </c>
      <c r="H48">
        <f>+_xlfn.POISSON.DIST($A48,'estadísticos descriptivos'!D$6,0)*'estadísticos descriptivos'!D$2</f>
        <v>4.1578867362864033E-39</v>
      </c>
      <c r="I48">
        <f>+_xlfn.POISSON.DIST($A48,'estadísticos descriptivos'!E$6,0)*'estadísticos descriptivos'!E$2</f>
        <v>1.2540426415594568E-65</v>
      </c>
      <c r="J48">
        <f t="shared" si="0"/>
        <v>6.9520511950801305E-37</v>
      </c>
      <c r="K48">
        <f t="shared" si="1"/>
        <v>4.9288470433821563E-60</v>
      </c>
      <c r="L48">
        <f t="shared" si="2"/>
        <v>4.1578867362864033E-39</v>
      </c>
      <c r="M48" s="4">
        <f t="shared" si="3"/>
        <v>1.2540426415594568E-65</v>
      </c>
      <c r="N48">
        <f>BINOMDIST($A48,90,'estadísticos descriptivos'!B$6/90,0)*'estadísticos descriptivos'!B$2</f>
        <v>6.5935585765263812E-42</v>
      </c>
      <c r="O48">
        <f>BINOMDIST($A48,90,'estadísticos descriptivos'!C$6/90,0)*'estadísticos descriptivos'!C$2</f>
        <v>1.9552443600054027E-65</v>
      </c>
      <c r="P48">
        <f>BINOMDIST($A48,90,'estadísticos descriptivos'!D$6/90,0)*'estadísticos descriptivos'!D$2</f>
        <v>3.464485215153549E-44</v>
      </c>
      <c r="Q48">
        <f>BINOMDIST($A48,90,'estadísticos descriptivos'!E$6/90,0)*'estadísticos descriptivos'!E$2</f>
        <v>4.5546127928138956E-71</v>
      </c>
      <c r="R48" s="3">
        <f t="shared" si="4"/>
        <v>6.5935585765263812E-42</v>
      </c>
      <c r="S48">
        <f t="shared" si="5"/>
        <v>1.9552443600054027E-65</v>
      </c>
      <c r="T48">
        <f t="shared" si="6"/>
        <v>3.464485215153549E-44</v>
      </c>
      <c r="U48">
        <f t="shared" si="7"/>
        <v>4.5546127928138956E-71</v>
      </c>
      <c r="V48" s="3">
        <f t="shared" si="13"/>
        <v>1.8510016943630577E-55</v>
      </c>
      <c r="W48">
        <f t="shared" si="14"/>
        <v>3.7117228301330053E-20</v>
      </c>
      <c r="X48">
        <f t="shared" si="15"/>
        <v>4.4606041600078426E-16</v>
      </c>
      <c r="Y48" s="4" t="e">
        <f t="shared" si="16"/>
        <v>#DIV/0!</v>
      </c>
      <c r="Z48">
        <f t="shared" si="8"/>
        <v>1.8510016943630577E-55</v>
      </c>
      <c r="AA48">
        <f t="shared" si="9"/>
        <v>3.7117228301330053E-20</v>
      </c>
      <c r="AB48">
        <f t="shared" si="10"/>
        <v>4.4606041600078426E-16</v>
      </c>
      <c r="AC48" s="4" t="e">
        <f t="shared" si="11"/>
        <v>#DIV/0!</v>
      </c>
    </row>
    <row r="49" spans="1:29">
      <c r="A49">
        <f t="shared" si="12"/>
        <v>45</v>
      </c>
      <c r="B49" s="3">
        <f>+COUNTIF(desglose!F:F,'pruebas de bondad de ajuste'!$A49)</f>
        <v>0</v>
      </c>
      <c r="C49">
        <f>+COUNTIF(desglose!G:G,'pruebas de bondad de ajuste'!$A49)</f>
        <v>0</v>
      </c>
      <c r="D49">
        <f>+COUNTIF(desglose!Q:Q,'pruebas de bondad de ajuste'!$A49)/'estadísticos descriptivos'!D$2</f>
        <v>0</v>
      </c>
      <c r="E49" s="4">
        <f>+COUNTIF(desglose!R:R,'pruebas de bondad de ajuste'!$A49)/'estadísticos descriptivos'!E$2</f>
        <v>0</v>
      </c>
      <c r="F49" s="3">
        <f>+_xlfn.POISSON.DIST($A49,'estadísticos descriptivos'!B$6,0)*'estadísticos descriptivos'!B$2</f>
        <v>3.9324734032776426E-38</v>
      </c>
      <c r="G49">
        <f>+_xlfn.POISSON.DIST($A49,'estadísticos descriptivos'!C$6,0)*'estadísticos descriptivos'!C$2</f>
        <v>7.9658134034455866E-62</v>
      </c>
      <c r="H49">
        <f>+_xlfn.POISSON.DIST($A49,'estadísticos descriptivos'!D$6,0)*'estadísticos descriptivos'!D$2</f>
        <v>2.0999427961042854E-40</v>
      </c>
      <c r="I49">
        <f>+_xlfn.POISSON.DIST($A49,'estadísticos descriptivos'!E$6,0)*'estadísticos descriptivos'!E$2</f>
        <v>1.5200516867386751E-67</v>
      </c>
      <c r="J49">
        <f t="shared" si="0"/>
        <v>3.9324734032776421E-38</v>
      </c>
      <c r="K49">
        <f t="shared" si="1"/>
        <v>7.9658134034455866E-62</v>
      </c>
      <c r="L49">
        <f t="shared" si="2"/>
        <v>2.0999427961042854E-40</v>
      </c>
      <c r="M49" s="4">
        <f t="shared" si="3"/>
        <v>1.5200516867386751E-67</v>
      </c>
      <c r="N49">
        <f>BINOMDIST($A49,90,'estadísticos descriptivos'!B$6/90,0)*'estadísticos descriptivos'!B$2</f>
        <v>1.9617702579269601E-43</v>
      </c>
      <c r="O49">
        <f>BINOMDIST($A49,90,'estadísticos descriptivos'!C$6/90,0)*'estadísticos descriptivos'!C$2</f>
        <v>1.6282641422991958E-67</v>
      </c>
      <c r="P49">
        <f>BINOMDIST($A49,90,'estadísticos descriptivos'!D$6/90,0)*'estadísticos descriptivos'!D$2</f>
        <v>9.1748025271770188E-46</v>
      </c>
      <c r="Q49">
        <f>BINOMDIST($A49,90,'estadísticos descriptivos'!E$6/90,0)*'estadísticos descriptivos'!E$2</f>
        <v>2.8389185429465543E-73</v>
      </c>
      <c r="R49" s="3">
        <f t="shared" si="4"/>
        <v>1.9617702579269601E-43</v>
      </c>
      <c r="S49">
        <f t="shared" si="5"/>
        <v>1.6282641422991958E-67</v>
      </c>
      <c r="T49">
        <f t="shared" si="6"/>
        <v>9.1748025271770188E-46</v>
      </c>
      <c r="U49">
        <f t="shared" si="7"/>
        <v>2.8389185429465543E-73</v>
      </c>
      <c r="V49" s="3">
        <f t="shared" si="13"/>
        <v>-1.170317525716847E-56</v>
      </c>
      <c r="W49">
        <f t="shared" si="14"/>
        <v>1.224397522725589E-20</v>
      </c>
      <c r="X49">
        <f t="shared" si="15"/>
        <v>1.7044588506306725E-16</v>
      </c>
      <c r="Y49" s="4" t="e">
        <f t="shared" si="16"/>
        <v>#DIV/0!</v>
      </c>
      <c r="Z49">
        <f t="shared" si="8"/>
        <v>-1.170317525716847E-56</v>
      </c>
      <c r="AA49">
        <f t="shared" si="9"/>
        <v>1.224397522725589E-20</v>
      </c>
      <c r="AB49">
        <f t="shared" si="10"/>
        <v>1.7044588506306725E-16</v>
      </c>
      <c r="AC49" s="4" t="e">
        <f t="shared" si="11"/>
        <v>#DIV/0!</v>
      </c>
    </row>
    <row r="50" spans="1:29">
      <c r="A50">
        <f t="shared" si="12"/>
        <v>46</v>
      </c>
      <c r="B50" s="3">
        <f>+COUNTIF(desglose!F:F,'pruebas de bondad de ajuste'!$A50)</f>
        <v>0</v>
      </c>
      <c r="C50">
        <f>+COUNTIF(desglose!G:G,'pruebas de bondad de ajuste'!$A50)</f>
        <v>0</v>
      </c>
      <c r="D50">
        <f>+COUNTIF(desglose!Q:Q,'pruebas de bondad de ajuste'!$A50)/'estadísticos descriptivos'!D$2</f>
        <v>0</v>
      </c>
      <c r="E50" s="4">
        <f>+COUNTIF(desglose!R:R,'pruebas de bondad de ajuste'!$A50)/'estadísticos descriptivos'!E$2</f>
        <v>0</v>
      </c>
      <c r="F50" s="3">
        <f>+_xlfn.POISSON.DIST($A50,'estadísticos descriptivos'!B$6,0)*'estadísticos descriptivos'!B$2</f>
        <v>2.1760722389679123E-39</v>
      </c>
      <c r="G50">
        <f>+_xlfn.POISSON.DIST($A50,'estadísticos descriptivos'!C$6,0)*'estadísticos descriptivos'!C$2</f>
        <v>1.259417138884738E-63</v>
      </c>
      <c r="H50">
        <f>+_xlfn.POISSON.DIST($A50,'estadísticos descriptivos'!D$6,0)*'estadísticos descriptivos'!D$2</f>
        <v>1.0375211443202844E-41</v>
      </c>
      <c r="I50">
        <f>+_xlfn.POISSON.DIST($A50,'estadísticos descriptivos'!E$6,0)*'estadísticos descriptivos'!E$2</f>
        <v>1.8024328301249936E-69</v>
      </c>
      <c r="J50">
        <f t="shared" si="0"/>
        <v>2.1760722389679123E-39</v>
      </c>
      <c r="K50">
        <f t="shared" si="1"/>
        <v>1.259417138884738E-63</v>
      </c>
      <c r="L50">
        <f t="shared" si="2"/>
        <v>1.0375211443202844E-41</v>
      </c>
      <c r="M50" s="4">
        <f t="shared" si="3"/>
        <v>1.8024328301249936E-69</v>
      </c>
      <c r="N50">
        <f>BINOMDIST($A50,90,'estadísticos descriptivos'!B$6/90,0)*'estadísticos descriptivos'!B$2</f>
        <v>5.5858052178162195E-45</v>
      </c>
      <c r="O50">
        <f>BINOMDIST($A50,90,'estadísticos descriptivos'!C$6/90,0)*'estadísticos descriptivos'!C$2</f>
        <v>1.2976514018146031E-69</v>
      </c>
      <c r="P50">
        <f>BINOMDIST($A50,90,'estadísticos descriptivos'!D$6/90,0)*'estadísticos descriptivos'!D$2</f>
        <v>2.3252202845401766E-47</v>
      </c>
      <c r="Q50">
        <f>BINOMDIST($A50,90,'estadísticos descriptivos'!E$6/90,0)*'estadísticos descriptivos'!E$2</f>
        <v>1.693416416126627E-75</v>
      </c>
      <c r="R50" s="3">
        <f t="shared" si="4"/>
        <v>5.5858052178162195E-45</v>
      </c>
      <c r="S50">
        <f t="shared" si="5"/>
        <v>1.2976514018146031E-69</v>
      </c>
      <c r="T50">
        <f t="shared" si="6"/>
        <v>2.3252202845401766E-47</v>
      </c>
      <c r="U50">
        <f t="shared" si="7"/>
        <v>1.6934164161266268E-75</v>
      </c>
      <c r="V50" s="3">
        <f t="shared" si="13"/>
        <v>7.5619131036237952E-58</v>
      </c>
      <c r="W50">
        <f t="shared" si="14"/>
        <v>4.0380313698684905E-21</v>
      </c>
      <c r="X50">
        <f t="shared" si="15"/>
        <v>6.5042984183560848E-17</v>
      </c>
      <c r="Y50" s="4" t="e">
        <f t="shared" si="16"/>
        <v>#DIV/0!</v>
      </c>
      <c r="Z50">
        <f t="shared" si="8"/>
        <v>7.5619131036237952E-58</v>
      </c>
      <c r="AA50">
        <f t="shared" si="9"/>
        <v>4.0380313698684905E-21</v>
      </c>
      <c r="AB50">
        <f t="shared" si="10"/>
        <v>6.5042984183560848E-17</v>
      </c>
      <c r="AC50" s="4" t="e">
        <f t="shared" si="11"/>
        <v>#DIV/0!</v>
      </c>
    </row>
    <row r="51" spans="1:29">
      <c r="A51">
        <f t="shared" si="12"/>
        <v>47</v>
      </c>
      <c r="B51" s="3">
        <f>+COUNTIF(desglose!F:F,'pruebas de bondad de ajuste'!$A51)</f>
        <v>0</v>
      </c>
      <c r="C51">
        <f>+COUNTIF(desglose!G:G,'pruebas de bondad de ajuste'!$A51)</f>
        <v>0</v>
      </c>
      <c r="D51">
        <f>+COUNTIF(desglose!Q:Q,'pruebas de bondad de ajuste'!$A51)/'estadísticos descriptivos'!D$2</f>
        <v>0</v>
      </c>
      <c r="E51" s="4">
        <f>+COUNTIF(desglose!R:R,'pruebas de bondad de ajuste'!$A51)/'estadísticos descriptivos'!E$2</f>
        <v>0</v>
      </c>
      <c r="F51" s="3">
        <f>+_xlfn.POISSON.DIST($A51,'estadísticos descriptivos'!B$6,0)*'estadísticos descriptivos'!B$2</f>
        <v>1.1785304195570529E-40</v>
      </c>
      <c r="G51">
        <f>+_xlfn.POISSON.DIST($A51,'estadísticos descriptivos'!C$6,0)*'estadísticos descriptivos'!C$2</f>
        <v>1.9488079518525292E-65</v>
      </c>
      <c r="H51">
        <f>+_xlfn.POISSON.DIST($A51,'estadísticos descriptivos'!D$6,0)*'estadísticos descriptivos'!D$2</f>
        <v>5.0170268100593509E-43</v>
      </c>
      <c r="I51">
        <f>+_xlfn.POISSON.DIST($A51,'estadísticos descriptivos'!E$6,0)*'estadísticos descriptivos'!E$2</f>
        <v>2.0917982554641429E-71</v>
      </c>
      <c r="J51">
        <f t="shared" si="0"/>
        <v>1.1785304195570529E-40</v>
      </c>
      <c r="K51">
        <f t="shared" si="1"/>
        <v>1.9488079518525292E-65</v>
      </c>
      <c r="L51">
        <f t="shared" si="2"/>
        <v>5.0170268100593509E-43</v>
      </c>
      <c r="M51" s="4">
        <f t="shared" si="3"/>
        <v>2.0917982554641429E-71</v>
      </c>
      <c r="N51">
        <f>BINOMDIST($A51,90,'estadísticos descriptivos'!B$6/90,0)*'estadísticos descriptivos'!B$2</f>
        <v>1.5220312355353273E-46</v>
      </c>
      <c r="O51">
        <f>BINOMDIST($A51,90,'estadísticos descriptivos'!C$6/90,0)*'estadísticos descriptivos'!C$2</f>
        <v>9.8967217021007071E-72</v>
      </c>
      <c r="P51">
        <f>BINOMDIST($A51,90,'estadísticos descriptivos'!D$6/90,0)*'estadísticos descriptivos'!D$2</f>
        <v>5.6393833380977047E-49</v>
      </c>
      <c r="Q51">
        <f>BINOMDIST($A51,90,'estadísticos descriptivos'!E$6/90,0)*'estadísticos descriptivos'!E$2</f>
        <v>9.66662199138153E-78</v>
      </c>
      <c r="R51" s="3">
        <f t="shared" si="4"/>
        <v>1.5220312355353273E-46</v>
      </c>
      <c r="S51">
        <f t="shared" si="5"/>
        <v>9.8967217021007071E-72</v>
      </c>
      <c r="T51">
        <f t="shared" si="6"/>
        <v>5.6393833380977047E-49</v>
      </c>
      <c r="U51">
        <f t="shared" si="7"/>
        <v>9.66662199138153E-78</v>
      </c>
      <c r="V51" s="3">
        <f t="shared" si="13"/>
        <v>-4.9866577375482585E-59</v>
      </c>
      <c r="W51">
        <f t="shared" si="14"/>
        <v>1.3314394104117818E-21</v>
      </c>
      <c r="X51">
        <f t="shared" si="15"/>
        <v>2.4788993513649366E-17</v>
      </c>
      <c r="Y51" s="4" t="e">
        <f t="shared" si="16"/>
        <v>#DIV/0!</v>
      </c>
      <c r="Z51">
        <f t="shared" si="8"/>
        <v>-4.9866577375482585E-59</v>
      </c>
      <c r="AA51">
        <f t="shared" si="9"/>
        <v>1.3314394104117818E-21</v>
      </c>
      <c r="AB51">
        <f t="shared" si="10"/>
        <v>2.4788993513649366E-17</v>
      </c>
      <c r="AC51" s="4" t="e">
        <f t="shared" si="11"/>
        <v>#DIV/0!</v>
      </c>
    </row>
    <row r="52" spans="1:29">
      <c r="A52">
        <f t="shared" si="12"/>
        <v>48</v>
      </c>
      <c r="B52" s="3">
        <f>+COUNTIF(desglose!F:F,'pruebas de bondad de ajuste'!$A52)</f>
        <v>0</v>
      </c>
      <c r="C52">
        <f>+COUNTIF(desglose!G:G,'pruebas de bondad de ajuste'!$A52)</f>
        <v>0</v>
      </c>
      <c r="D52">
        <f>+COUNTIF(desglose!Q:Q,'pruebas de bondad de ajuste'!$A52)/'estadísticos descriptivos'!D$2</f>
        <v>0</v>
      </c>
      <c r="E52" s="4">
        <f>+COUNTIF(desglose!R:R,'pruebas de bondad de ajuste'!$A52)/'estadísticos descriptivos'!E$2</f>
        <v>0</v>
      </c>
      <c r="F52" s="3">
        <f>+_xlfn.POISSON.DIST($A52,'estadísticos descriptivos'!B$6,0)*'estadísticos descriptivos'!B$2</f>
        <v>6.2497825279540634E-42</v>
      </c>
      <c r="G52">
        <f>+_xlfn.POISSON.DIST($A52,'estadísticos descriptivos'!C$6,0)*'estadísticos descriptivos'!C$2</f>
        <v>2.95273932098875E-67</v>
      </c>
      <c r="H52">
        <f>+_xlfn.POISSON.DIST($A52,'estadísticos descriptivos'!D$6,0)*'estadísticos descriptivos'!D$2</f>
        <v>2.3754861790053562E-44</v>
      </c>
      <c r="I52">
        <f>+_xlfn.POISSON.DIST($A52,'estadísticos descriptivos'!E$6,0)*'estadísticos descriptivos'!E$2</f>
        <v>2.3770434721184024E-73</v>
      </c>
      <c r="J52">
        <f t="shared" si="0"/>
        <v>6.2497825279540634E-42</v>
      </c>
      <c r="K52">
        <f t="shared" si="1"/>
        <v>2.95273932098875E-67</v>
      </c>
      <c r="L52">
        <f t="shared" si="2"/>
        <v>2.3754861790053562E-44</v>
      </c>
      <c r="M52" s="4">
        <f t="shared" si="3"/>
        <v>2.3770434721184024E-73</v>
      </c>
      <c r="N52">
        <f>BINOMDIST($A52,90,'estadísticos descriptivos'!B$6/90,0)*'estadísticos descriptivos'!B$2</f>
        <v>3.9685672374924886E-48</v>
      </c>
      <c r="O52">
        <f>BINOMDIST($A52,90,'estadísticos descriptivos'!C$6/90,0)*'estadísticos descriptivos'!C$2</f>
        <v>7.2226584044524094E-74</v>
      </c>
      <c r="P52">
        <f>BINOMDIST($A52,90,'estadísticos descriptivos'!D$6/90,0)*'estadísticos descriptivos'!D$2</f>
        <v>1.3087947082156623E-50</v>
      </c>
      <c r="Q52">
        <f>BINOMDIST($A52,90,'estadísticos descriptivos'!E$6/90,0)*'estadísticos descriptivos'!E$2</f>
        <v>5.2802940247636314E-80</v>
      </c>
      <c r="R52" s="3">
        <f t="shared" si="4"/>
        <v>3.968567237492488E-48</v>
      </c>
      <c r="S52">
        <f t="shared" si="5"/>
        <v>7.2226584044524094E-74</v>
      </c>
      <c r="T52">
        <f t="shared" si="6"/>
        <v>1.3087947082156623E-50</v>
      </c>
      <c r="U52">
        <f t="shared" si="7"/>
        <v>5.2802940247636314E-80</v>
      </c>
      <c r="V52" s="3">
        <f t="shared" si="13"/>
        <v>3.3520459521033941E-60</v>
      </c>
      <c r="W52">
        <f t="shared" si="14"/>
        <v>4.3891606772289575E-22</v>
      </c>
      <c r="X52">
        <f t="shared" si="15"/>
        <v>9.4359109108197723E-18</v>
      </c>
      <c r="Y52" s="4" t="e">
        <f t="shared" si="16"/>
        <v>#DIV/0!</v>
      </c>
      <c r="Z52">
        <f t="shared" si="8"/>
        <v>3.3520459521033941E-60</v>
      </c>
      <c r="AA52">
        <f t="shared" si="9"/>
        <v>4.3891606772289575E-22</v>
      </c>
      <c r="AB52">
        <f t="shared" si="10"/>
        <v>9.4359109108197723E-18</v>
      </c>
      <c r="AC52" s="4" t="e">
        <f t="shared" si="11"/>
        <v>#DIV/0!</v>
      </c>
    </row>
    <row r="53" spans="1:29">
      <c r="A53">
        <f t="shared" si="12"/>
        <v>49</v>
      </c>
      <c r="B53" s="3">
        <f>+COUNTIF(desglose!F:F,'pruebas de bondad de ajuste'!$A53)</f>
        <v>0</v>
      </c>
      <c r="C53">
        <f>+COUNTIF(desglose!G:G,'pruebas de bondad de ajuste'!$A53)</f>
        <v>0</v>
      </c>
      <c r="D53">
        <f>+COUNTIF(desglose!Q:Q,'pruebas de bondad de ajuste'!$A53)/'estadísticos descriptivos'!D$2</f>
        <v>0</v>
      </c>
      <c r="E53" s="4">
        <f>+COUNTIF(desglose!R:R,'pruebas de bondad de ajuste'!$A53)/'estadísticos descriptivos'!E$2</f>
        <v>0</v>
      </c>
      <c r="F53" s="3">
        <f>+_xlfn.POISSON.DIST($A53,'estadísticos descriptivos'!B$6,0)*'estadísticos descriptivos'!B$2</f>
        <v>3.2466402742618715E-43</v>
      </c>
      <c r="G53">
        <f>+_xlfn.POISSON.DIST($A53,'estadísticos descriptivos'!C$6,0)*'estadísticos descriptivos'!C$2</f>
        <v>4.3825444467365951E-69</v>
      </c>
      <c r="H53">
        <f>+_xlfn.POISSON.DIST($A53,'estadísticos descriptivos'!D$6,0)*'estadísticos descriptivos'!D$2</f>
        <v>1.1018024949004738E-45</v>
      </c>
      <c r="I53">
        <f>+_xlfn.POISSON.DIST($A53,'estadísticos descriptivos'!E$6,0)*'estadísticos descriptivos'!E$2</f>
        <v>2.6460595236939757E-75</v>
      </c>
      <c r="J53">
        <f t="shared" si="0"/>
        <v>3.2466402742618715E-43</v>
      </c>
      <c r="K53">
        <f t="shared" si="1"/>
        <v>4.3825444467365951E-69</v>
      </c>
      <c r="L53">
        <f t="shared" si="2"/>
        <v>1.1018024949004738E-45</v>
      </c>
      <c r="M53" s="4">
        <f t="shared" si="3"/>
        <v>2.6460595236939757E-75</v>
      </c>
      <c r="N53">
        <f>BINOMDIST($A53,90,'estadísticos descriptivos'!B$6/90,0)*'estadísticos descriptivos'!B$2</f>
        <v>9.9007914448876354E-50</v>
      </c>
      <c r="O53">
        <f>BINOMDIST($A53,90,'estadísticos descriptivos'!C$6/90,0)*'estadísticos descriptivos'!C$2</f>
        <v>5.0434623714532777E-76</v>
      </c>
      <c r="P53">
        <f>BINOMDIST($A53,90,'estadísticos descriptivos'!D$6/90,0)*'estadísticos descriptivos'!D$2</f>
        <v>2.9062798850089379E-52</v>
      </c>
      <c r="Q53">
        <f>BINOMDIST($A53,90,'estadísticos descriptivos'!E$6/90,0)*'estadísticos descriptivos'!E$2</f>
        <v>2.7597355530124077E-82</v>
      </c>
      <c r="R53" s="3">
        <f t="shared" si="4"/>
        <v>9.9007914448876354E-50</v>
      </c>
      <c r="S53">
        <f t="shared" si="5"/>
        <v>5.0434623714532777E-76</v>
      </c>
      <c r="T53">
        <f t="shared" si="6"/>
        <v>2.9062798850089379E-52</v>
      </c>
      <c r="U53">
        <f t="shared" si="7"/>
        <v>2.7597355530124077E-82</v>
      </c>
      <c r="V53" s="3">
        <f t="shared" si="13"/>
        <v>-2.2943131098779553E-61</v>
      </c>
      <c r="W53">
        <f t="shared" si="14"/>
        <v>1.4466169573695671E-22</v>
      </c>
      <c r="X53">
        <f t="shared" si="15"/>
        <v>3.5875337477607109E-18</v>
      </c>
      <c r="Y53" s="4" t="e">
        <f t="shared" si="16"/>
        <v>#DIV/0!</v>
      </c>
      <c r="Z53">
        <f t="shared" si="8"/>
        <v>-2.2943131098779553E-61</v>
      </c>
      <c r="AA53">
        <f t="shared" si="9"/>
        <v>1.4466169573695671E-22</v>
      </c>
      <c r="AB53">
        <f t="shared" si="10"/>
        <v>3.5875337477607109E-18</v>
      </c>
      <c r="AC53" s="4" t="e">
        <f t="shared" si="11"/>
        <v>#DIV/0!</v>
      </c>
    </row>
    <row r="54" spans="1:29">
      <c r="A54">
        <f t="shared" si="12"/>
        <v>50</v>
      </c>
      <c r="B54" s="3">
        <f>+COUNTIF(desglose!F:F,'pruebas de bondad de ajuste'!$A54)</f>
        <v>0</v>
      </c>
      <c r="C54">
        <f>+COUNTIF(desglose!G:G,'pruebas de bondad de ajuste'!$A54)</f>
        <v>0</v>
      </c>
      <c r="D54">
        <f>+COUNTIF(desglose!Q:Q,'pruebas de bondad de ajuste'!$A54)/'estadísticos descriptivos'!D$2</f>
        <v>0</v>
      </c>
      <c r="E54" s="4">
        <f>+COUNTIF(desglose!R:R,'pruebas de bondad de ajuste'!$A54)/'estadísticos descriptivos'!E$2</f>
        <v>0</v>
      </c>
      <c r="F54" s="3">
        <f>+_xlfn.POISSON.DIST($A54,'estadísticos descriptivos'!B$6,0)*'estadísticos descriptivos'!B$2</f>
        <v>1.6528350487151196E-44</v>
      </c>
      <c r="G54">
        <f>+_xlfn.POISSON.DIST($A54,'estadísticos descriptivos'!C$6,0)*'estadísticos descriptivos'!C$2</f>
        <v>6.3746101043440929E-71</v>
      </c>
      <c r="H54">
        <f>+_xlfn.POISSON.DIST($A54,'estadísticos descriptivos'!D$6,0)*'estadísticos descriptivos'!D$2</f>
        <v>5.0081931586385778E-47</v>
      </c>
      <c r="I54">
        <f>+_xlfn.POISSON.DIST($A54,'estadísticos descriptivos'!E$6,0)*'estadísticos descriptivos'!E$2</f>
        <v>2.8866103894843186E-77</v>
      </c>
      <c r="J54">
        <f t="shared" si="0"/>
        <v>1.6528350487151196E-44</v>
      </c>
      <c r="K54">
        <f t="shared" si="1"/>
        <v>6.3746101043440929E-71</v>
      </c>
      <c r="L54">
        <f t="shared" si="2"/>
        <v>5.0081931586385778E-47</v>
      </c>
      <c r="M54" s="4">
        <f t="shared" si="3"/>
        <v>2.8866103894843186E-77</v>
      </c>
      <c r="N54">
        <f>BINOMDIST($A54,90,'estadísticos descriptivos'!B$6/90,0)*'estadísticos descriptivos'!B$2</f>
        <v>2.3630163365345089E-51</v>
      </c>
      <c r="O54">
        <f>BINOMDIST($A54,90,'estadísticos descriptivos'!C$6/90,0)*'estadísticos descriptivos'!C$2</f>
        <v>3.3691561259403669E-78</v>
      </c>
      <c r="P54">
        <f>BINOMDIST($A54,90,'estadísticos descriptivos'!D$6/90,0)*'estadísticos descriptivos'!D$2</f>
        <v>6.1739624500190765E-54</v>
      </c>
      <c r="Q54">
        <f>BINOMDIST($A54,90,'estadísticos descriptivos'!E$6/90,0)*'estadísticos descriptivos'!E$2</f>
        <v>1.3798677765062599E-84</v>
      </c>
      <c r="R54" s="3">
        <f t="shared" si="4"/>
        <v>2.3630163365345089E-51</v>
      </c>
      <c r="S54">
        <f t="shared" si="5"/>
        <v>3.3691561259403664E-78</v>
      </c>
      <c r="T54">
        <f t="shared" si="6"/>
        <v>6.1739624500190765E-54</v>
      </c>
      <c r="U54">
        <f t="shared" si="7"/>
        <v>1.3798677765062599E-84</v>
      </c>
      <c r="V54" s="3">
        <f t="shared" si="13"/>
        <v>1.5973463669934281E-62</v>
      </c>
      <c r="W54">
        <f t="shared" si="14"/>
        <v>4.7669550624494486E-23</v>
      </c>
      <c r="X54">
        <f t="shared" si="15"/>
        <v>1.3624322701144873E-18</v>
      </c>
      <c r="Y54" s="4" t="e">
        <f t="shared" si="16"/>
        <v>#DIV/0!</v>
      </c>
      <c r="Z54">
        <f t="shared" si="8"/>
        <v>1.5973463669934281E-62</v>
      </c>
      <c r="AA54">
        <f t="shared" si="9"/>
        <v>4.7669550624494486E-23</v>
      </c>
      <c r="AB54">
        <f t="shared" si="10"/>
        <v>1.3624322701144873E-18</v>
      </c>
      <c r="AC54" s="4" t="e">
        <f t="shared" si="11"/>
        <v>#DIV/0!</v>
      </c>
    </row>
    <row r="55" spans="1:29">
      <c r="A55">
        <f t="shared" si="12"/>
        <v>51</v>
      </c>
      <c r="B55" s="3">
        <f>+COUNTIF(desglose!F:F,'pruebas de bondad de ajuste'!$A55)</f>
        <v>0</v>
      </c>
      <c r="C55">
        <f>+COUNTIF(desglose!G:G,'pruebas de bondad de ajuste'!$A55)</f>
        <v>0</v>
      </c>
      <c r="D55">
        <f>+COUNTIF(desglose!Q:Q,'pruebas de bondad de ajuste'!$A55)/'estadísticos descriptivos'!D$2</f>
        <v>0</v>
      </c>
      <c r="E55" s="4">
        <f>+COUNTIF(desglose!R:R,'pruebas de bondad de ajuste'!$A55)/'estadísticos descriptivos'!E$2</f>
        <v>0</v>
      </c>
      <c r="F55" s="3">
        <f>+_xlfn.POISSON.DIST($A55,'estadísticos descriptivos'!B$6,0)*'estadísticos descriptivos'!B$2</f>
        <v>8.2494440934090295E-46</v>
      </c>
      <c r="G55">
        <f>+_xlfn.POISSON.DIST($A55,'estadísticos descriptivos'!C$6,0)*'estadísticos descriptivos'!C$2</f>
        <v>9.0903530899734727E-73</v>
      </c>
      <c r="H55">
        <f>+_xlfn.POISSON.DIST($A55,'estadísticos descriptivos'!D$6,0)*'estadísticos descriptivos'!D$2</f>
        <v>2.2318151330831289E-48</v>
      </c>
      <c r="I55">
        <f>+_xlfn.POISSON.DIST($A55,'estadísticos descriptivos'!E$6,0)*'estadísticos descriptivos'!E$2</f>
        <v>3.0872838390205652E-79</v>
      </c>
      <c r="J55">
        <f t="shared" si="0"/>
        <v>8.2494440934090295E-46</v>
      </c>
      <c r="K55">
        <f t="shared" si="1"/>
        <v>9.0903530899734727E-73</v>
      </c>
      <c r="L55">
        <f t="shared" si="2"/>
        <v>2.2318151330831289E-48</v>
      </c>
      <c r="M55" s="4">
        <f t="shared" si="3"/>
        <v>3.0872838390205652E-79</v>
      </c>
      <c r="N55">
        <f>BINOMDIST($A55,90,'estadísticos descriptivos'!B$6/90,0)*'estadísticos descriptivos'!B$2</f>
        <v>5.3943546877802368E-53</v>
      </c>
      <c r="O55">
        <f>BINOMDIST($A55,90,'estadísticos descriptivos'!C$6/90,0)*'estadísticos descriptivos'!C$2</f>
        <v>2.1527294443130506E-80</v>
      </c>
      <c r="P55">
        <f>BINOMDIST($A55,90,'estadísticos descriptivos'!D$6/90,0)*'estadísticos descriptivos'!D$2</f>
        <v>1.2544879508318842E-55</v>
      </c>
      <c r="Q55">
        <f>BINOMDIST($A55,90,'estadísticos descriptivos'!E$6/90,0)*'estadísticos descriptivos'!E$2</f>
        <v>6.5990807102162E-87</v>
      </c>
      <c r="R55" s="3">
        <f t="shared" si="4"/>
        <v>5.3943546877802368E-53</v>
      </c>
      <c r="S55">
        <f t="shared" si="5"/>
        <v>2.1527294443130506E-80</v>
      </c>
      <c r="T55">
        <f t="shared" si="6"/>
        <v>1.2544879508318842E-55</v>
      </c>
      <c r="U55">
        <f t="shared" si="7"/>
        <v>6.5990807102162E-87</v>
      </c>
      <c r="V55" s="3">
        <f t="shared" si="13"/>
        <v>-1.1301793203608964E-63</v>
      </c>
      <c r="W55">
        <f t="shared" si="14"/>
        <v>1.570533612127944E-23</v>
      </c>
      <c r="X55">
        <f t="shared" si="15"/>
        <v>5.1684349317109198E-19</v>
      </c>
      <c r="Y55" s="4" t="e">
        <f t="shared" si="16"/>
        <v>#DIV/0!</v>
      </c>
      <c r="Z55">
        <f t="shared" si="8"/>
        <v>-1.1301793203608965E-63</v>
      </c>
      <c r="AA55">
        <f t="shared" si="9"/>
        <v>1.570533612127944E-23</v>
      </c>
      <c r="AB55">
        <f t="shared" si="10"/>
        <v>5.1684349317109198E-19</v>
      </c>
      <c r="AC55" s="4" t="e">
        <f t="shared" si="11"/>
        <v>#DIV/0!</v>
      </c>
    </row>
    <row r="56" spans="1:29">
      <c r="A56">
        <f t="shared" si="12"/>
        <v>52</v>
      </c>
      <c r="B56" s="3">
        <f>+COUNTIF(desglose!F:F,'pruebas de bondad de ajuste'!$A56)</f>
        <v>0</v>
      </c>
      <c r="C56">
        <f>+COUNTIF(desglose!G:G,'pruebas de bondad de ajuste'!$A56)</f>
        <v>0</v>
      </c>
      <c r="D56">
        <f>+COUNTIF(desglose!Q:Q,'pruebas de bondad de ajuste'!$A56)/'estadísticos descriptivos'!D$2</f>
        <v>0</v>
      </c>
      <c r="E56" s="4">
        <f>+COUNTIF(desglose!R:R,'pruebas de bondad de ajuste'!$A56)/'estadísticos descriptivos'!E$2</f>
        <v>0</v>
      </c>
      <c r="F56" s="3">
        <f>+_xlfn.POISSON.DIST($A56,'estadísticos descriptivos'!B$6,0)*'estadísticos descriptivos'!B$2</f>
        <v>4.0381894163539775E-47</v>
      </c>
      <c r="G56">
        <f>+_xlfn.POISSON.DIST($A56,'estadísticos descriptivos'!C$6,0)*'estadísticos descriptivos'!C$2</f>
        <v>1.2713780545417494E-74</v>
      </c>
      <c r="H56">
        <f>+_xlfn.POISSON.DIST($A56,'estadísticos descriptivos'!D$6,0)*'estadísticos descriptivos'!D$2</f>
        <v>9.7544367704679276E-50</v>
      </c>
      <c r="I56">
        <f>+_xlfn.POISSON.DIST($A56,'estadísticos descriptivos'!E$6,0)*'estadísticos descriptivos'!E$2</f>
        <v>3.2384096213502597E-81</v>
      </c>
      <c r="J56">
        <f t="shared" si="0"/>
        <v>4.0381894163539775E-47</v>
      </c>
      <c r="K56">
        <f t="shared" si="1"/>
        <v>1.2713780545417494E-74</v>
      </c>
      <c r="L56">
        <f t="shared" si="2"/>
        <v>9.7544367704679276E-50</v>
      </c>
      <c r="M56" s="4">
        <f t="shared" si="3"/>
        <v>3.2384096213502597E-81</v>
      </c>
      <c r="N56">
        <f>BINOMDIST($A56,90,'estadísticos descriptivos'!B$6/90,0)*'estadísticos descriptivos'!B$2</f>
        <v>1.1775618341307931E-54</v>
      </c>
      <c r="O56">
        <f>BINOMDIST($A56,90,'estadísticos descriptivos'!C$6/90,0)*'estadísticos descriptivos'!C$2</f>
        <v>1.3153133060976682E-82</v>
      </c>
      <c r="P56">
        <f>BINOMDIST($A56,90,'estadísticos descriptivos'!D$6/90,0)*'estadísticos descriptivos'!D$2</f>
        <v>2.4374765884037971E-57</v>
      </c>
      <c r="Q56">
        <f>BINOMDIST($A56,90,'estadísticos descriptivos'!E$6/90,0)*'estadísticos descriptivos'!E$2</f>
        <v>3.017872276013476E-89</v>
      </c>
      <c r="R56" s="3">
        <f t="shared" si="4"/>
        <v>1.1775618341307931E-54</v>
      </c>
      <c r="S56">
        <f t="shared" si="5"/>
        <v>1.3153133060976682E-82</v>
      </c>
      <c r="T56">
        <f t="shared" si="6"/>
        <v>2.4374765884037971E-57</v>
      </c>
      <c r="U56">
        <f t="shared" si="7"/>
        <v>3.017872276013476E-89</v>
      </c>
      <c r="V56" s="3">
        <f t="shared" si="13"/>
        <v>8.1194817645898967E-65</v>
      </c>
      <c r="W56">
        <f t="shared" si="14"/>
        <v>5.1733890439039832E-24</v>
      </c>
      <c r="X56">
        <f t="shared" si="15"/>
        <v>1.9586002954403477E-19</v>
      </c>
      <c r="Y56" s="4" t="e">
        <f t="shared" si="16"/>
        <v>#DIV/0!</v>
      </c>
      <c r="Z56">
        <f t="shared" si="8"/>
        <v>8.1194817645898967E-65</v>
      </c>
      <c r="AA56">
        <f t="shared" si="9"/>
        <v>5.1733890439039832E-24</v>
      </c>
      <c r="AB56">
        <f t="shared" si="10"/>
        <v>1.9586002954403479E-19</v>
      </c>
      <c r="AC56" s="4" t="e">
        <f t="shared" si="11"/>
        <v>#DIV/0!</v>
      </c>
    </row>
    <row r="57" spans="1:29">
      <c r="A57">
        <f t="shared" si="12"/>
        <v>53</v>
      </c>
      <c r="B57" s="3">
        <f>+COUNTIF(desglose!F:F,'pruebas de bondad de ajuste'!$A57)</f>
        <v>0</v>
      </c>
      <c r="C57">
        <f>+COUNTIF(desglose!G:G,'pruebas de bondad de ajuste'!$A57)</f>
        <v>0</v>
      </c>
      <c r="D57">
        <f>+COUNTIF(desglose!Q:Q,'pruebas de bondad de ajuste'!$A57)/'estadísticos descriptivos'!D$2</f>
        <v>0</v>
      </c>
      <c r="E57" s="4">
        <f>+COUNTIF(desglose!R:R,'pruebas de bondad de ajuste'!$A57)/'estadísticos descriptivos'!E$2</f>
        <v>0</v>
      </c>
      <c r="F57" s="3">
        <f>+_xlfn.POISSON.DIST($A57,'estadísticos descriptivos'!B$6,0)*'estadísticos descriptivos'!B$2</f>
        <v>1.939439170804657E-48</v>
      </c>
      <c r="G57">
        <f>+_xlfn.POISSON.DIST($A57,'estadísticos descriptivos'!C$6,0)*'estadísticos descriptivos'!C$2</f>
        <v>1.7446011040023844E-76</v>
      </c>
      <c r="H57">
        <f>+_xlfn.POISSON.DIST($A57,'estadísticos descriptivos'!D$6,0)*'estadísticos descriptivos'!D$2</f>
        <v>4.182863109120131E-51</v>
      </c>
      <c r="I57">
        <f>+_xlfn.POISSON.DIST($A57,'estadísticos descriptivos'!E$6,0)*'estadísticos descriptivos'!E$2</f>
        <v>3.3328400905834176E-83</v>
      </c>
      <c r="J57">
        <f t="shared" si="0"/>
        <v>1.939439170804657E-48</v>
      </c>
      <c r="K57">
        <f t="shared" si="1"/>
        <v>1.7446011040023844E-76</v>
      </c>
      <c r="L57">
        <f t="shared" si="2"/>
        <v>4.182863109120131E-51</v>
      </c>
      <c r="M57" s="4">
        <f t="shared" si="3"/>
        <v>3.3328400905834176E-83</v>
      </c>
      <c r="N57">
        <f>BINOMDIST($A57,90,'estadísticos descriptivos'!B$6/90,0)*'estadísticos descriptivos'!B$2</f>
        <v>2.4573918164106889E-56</v>
      </c>
      <c r="O57">
        <f>BINOMDIST($A57,90,'estadísticos descriptivos'!C$6/90,0)*'estadísticos descriptivos'!C$2</f>
        <v>7.6827276842348676E-85</v>
      </c>
      <c r="P57">
        <f>BINOMDIST($A57,90,'estadísticos descriptivos'!D$6/90,0)*'estadísticos descriptivos'!D$2</f>
        <v>4.5275251910913252E-59</v>
      </c>
      <c r="Q57">
        <f>BINOMDIST($A57,90,'estadísticos descriptivos'!E$6/90,0)*'estadísticos descriptivos'!E$2</f>
        <v>1.3193643176313015E-91</v>
      </c>
      <c r="R57" s="3">
        <f t="shared" si="4"/>
        <v>2.4573918164106889E-56</v>
      </c>
      <c r="S57">
        <f t="shared" si="5"/>
        <v>7.6827276842348676E-85</v>
      </c>
      <c r="T57">
        <f t="shared" si="6"/>
        <v>4.5275251910913252E-59</v>
      </c>
      <c r="U57">
        <f t="shared" si="7"/>
        <v>1.3193643176313015E-91</v>
      </c>
      <c r="V57" s="3">
        <f t="shared" si="13"/>
        <v>-5.9183680656919979E-66</v>
      </c>
      <c r="W57">
        <f t="shared" si="14"/>
        <v>1.7038354666127156E-24</v>
      </c>
      <c r="X57">
        <f t="shared" si="15"/>
        <v>7.4146677192561169E-20</v>
      </c>
      <c r="Y57" s="4" t="e">
        <f t="shared" si="16"/>
        <v>#DIV/0!</v>
      </c>
      <c r="Z57">
        <f t="shared" si="8"/>
        <v>-5.9183680656919979E-66</v>
      </c>
      <c r="AA57">
        <f t="shared" si="9"/>
        <v>1.7038354666127156E-24</v>
      </c>
      <c r="AB57">
        <f t="shared" si="10"/>
        <v>7.4146677192561169E-20</v>
      </c>
      <c r="AC57" s="4" t="e">
        <f t="shared" si="11"/>
        <v>#DIV/0!</v>
      </c>
    </row>
    <row r="58" spans="1:29">
      <c r="A58">
        <f t="shared" si="12"/>
        <v>54</v>
      </c>
      <c r="B58" s="3">
        <f>+COUNTIF(desglose!F:F,'pruebas de bondad de ajuste'!$A58)</f>
        <v>0</v>
      </c>
      <c r="C58">
        <f>+COUNTIF(desglose!G:G,'pruebas de bondad de ajuste'!$A58)</f>
        <v>0</v>
      </c>
      <c r="D58">
        <f>+COUNTIF(desglose!Q:Q,'pruebas de bondad de ajuste'!$A58)/'estadísticos descriptivos'!D$2</f>
        <v>0</v>
      </c>
      <c r="E58" s="4">
        <f>+COUNTIF(desglose!R:R,'pruebas de bondad de ajuste'!$A58)/'estadísticos descriptivos'!E$2</f>
        <v>0</v>
      </c>
      <c r="F58" s="3">
        <f>+_xlfn.POISSON.DIST($A58,'estadísticos descriptivos'!B$6,0)*'estadísticos descriptivos'!B$2</f>
        <v>9.1421375054766406E-50</v>
      </c>
      <c r="G58">
        <f>+_xlfn.POISSON.DIST($A58,'estadísticos descriptivos'!C$6,0)*'estadísticos descriptivos'!C$2</f>
        <v>2.3496311165015402E-78</v>
      </c>
      <c r="H58">
        <f>+_xlfn.POISSON.DIST($A58,'estadísticos descriptivos'!D$6,0)*'estadísticos descriptivos'!D$2</f>
        <v>1.7604642715152221E-52</v>
      </c>
      <c r="I58">
        <f>+_xlfn.POISSON.DIST($A58,'estadísticos descriptivos'!E$6,0)*'estadísticos descriptivos'!E$2</f>
        <v>3.366505142003486E-85</v>
      </c>
      <c r="J58">
        <f t="shared" si="0"/>
        <v>9.1421375054766406E-50</v>
      </c>
      <c r="K58">
        <f t="shared" si="1"/>
        <v>2.3496311165015402E-78</v>
      </c>
      <c r="L58">
        <f t="shared" si="2"/>
        <v>1.7604642715152221E-52</v>
      </c>
      <c r="M58" s="4">
        <f t="shared" si="3"/>
        <v>3.366505142003486E-85</v>
      </c>
      <c r="N58">
        <f>BINOMDIST($A58,90,'estadísticos descriptivos'!B$6/90,0)*'estadísticos descriptivos'!B$2</f>
        <v>4.9007814002493122E-58</v>
      </c>
      <c r="O58">
        <f>BINOMDIST($A58,90,'estadísticos descriptivos'!C$6/90,0)*'estadísticos descriptivos'!C$2</f>
        <v>4.2884653287575539E-87</v>
      </c>
      <c r="P58">
        <f>BINOMDIST($A58,90,'estadísticos descriptivos'!D$6/90,0)*'estadísticos descriptivos'!D$2</f>
        <v>8.0367699131825507E-61</v>
      </c>
      <c r="Q58">
        <f>BINOMDIST($A58,90,'estadísticos descriptivos'!E$6/90,0)*'estadísticos descriptivos'!E$2</f>
        <v>5.5122492945302134E-94</v>
      </c>
      <c r="R58" s="3">
        <f t="shared" si="4"/>
        <v>4.9007814002493122E-58</v>
      </c>
      <c r="S58">
        <f t="shared" si="5"/>
        <v>4.2884653287575539E-87</v>
      </c>
      <c r="T58">
        <f t="shared" si="6"/>
        <v>8.0367699131825507E-61</v>
      </c>
      <c r="U58">
        <f t="shared" si="7"/>
        <v>5.5122492945302134E-94</v>
      </c>
      <c r="V58" s="3">
        <f t="shared" si="13"/>
        <v>4.3737549458139703E-67</v>
      </c>
      <c r="W58">
        <f t="shared" si="14"/>
        <v>5.6105767796628546E-25</v>
      </c>
      <c r="X58">
        <f t="shared" si="15"/>
        <v>2.8042213684051195E-20</v>
      </c>
      <c r="Y58" s="4" t="e">
        <f t="shared" si="16"/>
        <v>#DIV/0!</v>
      </c>
      <c r="Z58">
        <f t="shared" si="8"/>
        <v>4.3737549458139703E-67</v>
      </c>
      <c r="AA58">
        <f t="shared" si="9"/>
        <v>5.6105767796628546E-25</v>
      </c>
      <c r="AB58">
        <f t="shared" si="10"/>
        <v>2.8042213684051195E-20</v>
      </c>
      <c r="AC58" s="4" t="e">
        <f t="shared" si="11"/>
        <v>#DIV/0!</v>
      </c>
    </row>
    <row r="59" spans="1:29">
      <c r="A59">
        <f t="shared" si="12"/>
        <v>55</v>
      </c>
      <c r="B59" s="3">
        <f>+COUNTIF(desglose!F:F,'pruebas de bondad de ajuste'!$A59)</f>
        <v>0</v>
      </c>
      <c r="C59">
        <f>+COUNTIF(desglose!G:G,'pruebas de bondad de ajuste'!$A59)</f>
        <v>0</v>
      </c>
      <c r="D59">
        <f>+COUNTIF(desglose!Q:Q,'pruebas de bondad de ajuste'!$A59)/'estadísticos descriptivos'!D$2</f>
        <v>0</v>
      </c>
      <c r="E59" s="4">
        <f>+COUNTIF(desglose!R:R,'pruebas de bondad de ajuste'!$A59)/'estadísticos descriptivos'!E$2</f>
        <v>0</v>
      </c>
      <c r="F59" s="3">
        <f>+_xlfn.POISSON.DIST($A59,'estadísticos descriptivos'!B$6,0)*'estadísticos descriptivos'!B$2</f>
        <v>4.2310719033610317E-51</v>
      </c>
      <c r="G59">
        <f>+_xlfn.POISSON.DIST($A59,'estadísticos descriptivos'!C$6,0)*'estadísticos descriptivos'!C$2</f>
        <v>3.1069502366962158E-80</v>
      </c>
      <c r="H59">
        <f>+_xlfn.POISSON.DIST($A59,'estadísticos descriptivos'!D$6,0)*'estadísticos descriptivos'!D$2</f>
        <v>7.274645750062748E-54</v>
      </c>
      <c r="I59">
        <f>+_xlfn.POISSON.DIST($A59,'estadísticos descriptivos'!E$6,0)*'estadísticos descriptivos'!E$2</f>
        <v>3.3386827854579552E-87</v>
      </c>
      <c r="J59">
        <f t="shared" si="0"/>
        <v>4.2310719033610317E-51</v>
      </c>
      <c r="K59">
        <f t="shared" si="1"/>
        <v>3.1069502366962154E-80</v>
      </c>
      <c r="L59">
        <f t="shared" si="2"/>
        <v>7.274645750062748E-54</v>
      </c>
      <c r="M59" s="4">
        <f t="shared" si="3"/>
        <v>3.3386827854579552E-87</v>
      </c>
      <c r="N59">
        <f>BINOMDIST($A59,90,'estadísticos descriptivos'!B$6/90,0)*'estadísticos descriptivos'!B$2</f>
        <v>9.3365859978289456E-60</v>
      </c>
      <c r="O59">
        <f>BINOMDIST($A59,90,'estadísticos descriptivos'!C$6/90,0)*'estadísticos descriptivos'!C$2</f>
        <v>2.2867580349604474E-89</v>
      </c>
      <c r="P59">
        <f>BINOMDIST($A59,90,'estadísticos descriptivos'!D$6/90,0)*'estadísticos descriptivos'!D$2</f>
        <v>1.3628060144822028E-62</v>
      </c>
      <c r="Q59">
        <f>BINOMDIST($A59,90,'estadísticos descriptivos'!E$6/90,0)*'estadísticos descriptivos'!E$2</f>
        <v>2.2000108049123048E-96</v>
      </c>
      <c r="R59" s="3">
        <f t="shared" si="4"/>
        <v>9.3365859978289456E-60</v>
      </c>
      <c r="S59">
        <f t="shared" si="5"/>
        <v>2.2867580349604474E-89</v>
      </c>
      <c r="T59">
        <f t="shared" si="6"/>
        <v>1.3628060144822028E-62</v>
      </c>
      <c r="U59">
        <f t="shared" si="7"/>
        <v>2.2000108049123048E-96</v>
      </c>
      <c r="V59" s="3">
        <f t="shared" si="13"/>
        <v>-3.2748792409303346E-68</v>
      </c>
      <c r="W59">
        <f t="shared" si="14"/>
        <v>1.847214333796381E-25</v>
      </c>
      <c r="X59">
        <f t="shared" si="15"/>
        <v>1.0595523337143387E-20</v>
      </c>
      <c r="Y59" s="4" t="e">
        <f t="shared" si="16"/>
        <v>#DIV/0!</v>
      </c>
      <c r="Z59">
        <f t="shared" si="8"/>
        <v>-3.2748792409303346E-68</v>
      </c>
      <c r="AA59">
        <f t="shared" si="9"/>
        <v>1.847214333796381E-25</v>
      </c>
      <c r="AB59">
        <f t="shared" si="10"/>
        <v>1.0595523337143387E-20</v>
      </c>
      <c r="AC59" s="4" t="e">
        <f t="shared" si="11"/>
        <v>#DIV/0!</v>
      </c>
    </row>
    <row r="60" spans="1:29">
      <c r="A60">
        <f t="shared" si="12"/>
        <v>56</v>
      </c>
      <c r="B60" s="3">
        <f>+COUNTIF(desglose!F:F,'pruebas de bondad de ajuste'!$A60)</f>
        <v>0</v>
      </c>
      <c r="C60">
        <f>+COUNTIF(desglose!G:G,'pruebas de bondad de ajuste'!$A60)</f>
        <v>0</v>
      </c>
      <c r="D60">
        <f>+COUNTIF(desglose!Q:Q,'pruebas de bondad de ajuste'!$A60)/'estadísticos descriptivos'!D$2</f>
        <v>0</v>
      </c>
      <c r="E60" s="4">
        <f>+COUNTIF(desglose!R:R,'pruebas de bondad de ajuste'!$A60)/'estadísticos descriptivos'!E$2</f>
        <v>0</v>
      </c>
      <c r="F60" s="3">
        <f>+_xlfn.POISSON.DIST($A60,'estadísticos descriptivos'!B$6,0)*'estadísticos descriptivos'!B$2</f>
        <v>1.9232145015277236E-52</v>
      </c>
      <c r="G60">
        <f>+_xlfn.POISSON.DIST($A60,'estadísticos descriptivos'!C$6,0)*'estadísticos descriptivos'!C$2</f>
        <v>4.035000307397739E-82</v>
      </c>
      <c r="H60">
        <f>+_xlfn.POISSON.DIST($A60,'estadísticos descriptivos'!D$6,0)*'estadísticos descriptivos'!D$2</f>
        <v>2.9523724634995259E-55</v>
      </c>
      <c r="I60">
        <f>+_xlfn.POISSON.DIST($A60,'estadísticos descriptivos'!E$6,0)*'estadísticos descriptivos'!E$2</f>
        <v>3.2519637520694742E-89</v>
      </c>
      <c r="J60">
        <f t="shared" si="0"/>
        <v>1.9232145015277236E-52</v>
      </c>
      <c r="K60">
        <f t="shared" si="1"/>
        <v>4.035000307397739E-82</v>
      </c>
      <c r="L60">
        <f t="shared" si="2"/>
        <v>2.9523724634995259E-55</v>
      </c>
      <c r="M60" s="4">
        <f t="shared" si="3"/>
        <v>3.2519637520694742E-89</v>
      </c>
      <c r="N60">
        <f>BINOMDIST($A60,90,'estadísticos descriptivos'!B$6/90,0)*'estadísticos descriptivos'!B$2</f>
        <v>1.6984433987734174E-61</v>
      </c>
      <c r="O60">
        <f>BINOMDIST($A60,90,'estadísticos descriptivos'!C$6/90,0)*'estadísticos descriptivos'!C$2</f>
        <v>1.1643370850104171E-91</v>
      </c>
      <c r="P60">
        <f>BINOMDIST($A60,90,'estadísticos descriptivos'!D$6/90,0)*'estadísticos descriptivos'!D$2</f>
        <v>2.2066159560917268E-64</v>
      </c>
      <c r="Q60">
        <f>BINOMDIST($A60,90,'estadísticos descriptivos'!E$6/90,0)*'estadísticos descriptivos'!E$2</f>
        <v>8.3841875187205927E-99</v>
      </c>
      <c r="R60" s="3">
        <f t="shared" si="4"/>
        <v>1.6984433987734174E-61</v>
      </c>
      <c r="S60">
        <f t="shared" si="5"/>
        <v>1.1643370850104171E-91</v>
      </c>
      <c r="T60">
        <f t="shared" si="6"/>
        <v>2.2066159560917268E-64</v>
      </c>
      <c r="U60">
        <f t="shared" si="7"/>
        <v>8.3841875187205927E-99</v>
      </c>
      <c r="V60" s="3">
        <f t="shared" si="13"/>
        <v>2.4828768006796268E-69</v>
      </c>
      <c r="W60">
        <f t="shared" si="14"/>
        <v>6.0807821131670333E-26</v>
      </c>
      <c r="X60">
        <f t="shared" si="15"/>
        <v>3.9997797948751624E-21</v>
      </c>
      <c r="Y60" s="4" t="e">
        <f t="shared" si="16"/>
        <v>#DIV/0!</v>
      </c>
      <c r="Z60">
        <f t="shared" si="8"/>
        <v>2.4828768006796268E-69</v>
      </c>
      <c r="AA60">
        <f t="shared" si="9"/>
        <v>6.0807821131670333E-26</v>
      </c>
      <c r="AB60">
        <f t="shared" si="10"/>
        <v>3.9997797948751624E-21</v>
      </c>
      <c r="AC60" s="4" t="e">
        <f t="shared" si="11"/>
        <v>#DIV/0!</v>
      </c>
    </row>
    <row r="61" spans="1:29">
      <c r="A61">
        <f t="shared" si="12"/>
        <v>57</v>
      </c>
      <c r="B61" s="3">
        <f>+COUNTIF(desglose!F:F,'pruebas de bondad de ajuste'!$A61)</f>
        <v>0</v>
      </c>
      <c r="C61">
        <f>+COUNTIF(desglose!G:G,'pruebas de bondad de ajuste'!$A61)</f>
        <v>0</v>
      </c>
      <c r="D61">
        <f>+COUNTIF(desglose!Q:Q,'pruebas de bondad de ajuste'!$A61)/'estadísticos descriptivos'!D$2</f>
        <v>0</v>
      </c>
      <c r="E61" s="4">
        <f>+COUNTIF(desglose!R:R,'pruebas de bondad de ajuste'!$A61)/'estadísticos descriptivos'!E$2</f>
        <v>0</v>
      </c>
      <c r="F61" s="3">
        <f>+_xlfn.POISSON.DIST($A61,'estadísticos descriptivos'!B$6,0)*'estadísticos descriptivos'!B$2</f>
        <v>8.5885177101718373E-54</v>
      </c>
      <c r="G61">
        <f>+_xlfn.POISSON.DIST($A61,'estadísticos descriptivos'!C$6,0)*'estadísticos descriptivos'!C$2</f>
        <v>5.1483257510658086E-84</v>
      </c>
      <c r="H61">
        <f>+_xlfn.POISSON.DIST($A61,'estadísticos descriptivos'!D$6,0)*'estadísticos descriptivos'!D$2</f>
        <v>1.1771820029902255E-56</v>
      </c>
      <c r="I61">
        <f>+_xlfn.POISSON.DIST($A61,'estadísticos descriptivos'!E$6,0)*'estadísticos descriptivos'!E$2</f>
        <v>3.1119270354732641E-91</v>
      </c>
      <c r="J61">
        <f t="shared" si="0"/>
        <v>8.5885177101718373E-54</v>
      </c>
      <c r="K61">
        <f t="shared" si="1"/>
        <v>5.1483257510658086E-84</v>
      </c>
      <c r="L61">
        <f t="shared" si="2"/>
        <v>1.1771820029902255E-56</v>
      </c>
      <c r="M61" s="4">
        <f t="shared" si="3"/>
        <v>3.1119270354732641E-91</v>
      </c>
      <c r="N61">
        <f>BINOMDIST($A61,90,'estadísticos descriptivos'!B$6/90,0)*'estadísticos descriptivos'!B$2</f>
        <v>2.9487509859436204E-63</v>
      </c>
      <c r="O61">
        <f>BINOMDIST($A61,90,'estadísticos descriptivos'!C$6/90,0)*'estadísticos descriptivos'!C$2</f>
        <v>5.6579784743422073E-94</v>
      </c>
      <c r="P61">
        <f>BINOMDIST($A61,90,'estadísticos descriptivos'!D$6/90,0)*'estadísticos descriptivos'!D$2</f>
        <v>3.4099146671719917E-66</v>
      </c>
      <c r="Q61">
        <f>BINOMDIST($A61,90,'estadísticos descriptivos'!E$6/90,0)*'estadísticos descriptivos'!E$2</f>
        <v>3.0494477496416495E-101</v>
      </c>
      <c r="R61" s="3">
        <f t="shared" si="4"/>
        <v>2.9487509859436204E-63</v>
      </c>
      <c r="S61">
        <f t="shared" si="5"/>
        <v>5.6579784743422073E-94</v>
      </c>
      <c r="T61">
        <f t="shared" si="6"/>
        <v>3.4099146671719912E-66</v>
      </c>
      <c r="U61">
        <f t="shared" si="7"/>
        <v>3.0494477496416495E-101</v>
      </c>
      <c r="V61" s="3">
        <f t="shared" si="13"/>
        <v>-1.9049511172195516E-70</v>
      </c>
      <c r="W61">
        <f t="shared" si="14"/>
        <v>2.0014110274801048E-26</v>
      </c>
      <c r="X61">
        <f t="shared" si="15"/>
        <v>1.5085740427068994E-21</v>
      </c>
      <c r="Y61" s="4" t="e">
        <f t="shared" si="16"/>
        <v>#DIV/0!</v>
      </c>
      <c r="Z61">
        <f t="shared" si="8"/>
        <v>-1.9049511172195516E-70</v>
      </c>
      <c r="AA61">
        <f t="shared" si="9"/>
        <v>2.0014110274801048E-26</v>
      </c>
      <c r="AB61">
        <f t="shared" si="10"/>
        <v>1.5085740427068994E-21</v>
      </c>
      <c r="AC61" s="4" t="e">
        <f t="shared" si="11"/>
        <v>#DIV/0!</v>
      </c>
    </row>
    <row r="62" spans="1:29">
      <c r="A62">
        <f t="shared" si="12"/>
        <v>58</v>
      </c>
      <c r="B62" s="3">
        <f>+COUNTIF(desglose!F:F,'pruebas de bondad de ajuste'!$A62)</f>
        <v>0</v>
      </c>
      <c r="C62">
        <f>+COUNTIF(desglose!G:G,'pruebas de bondad de ajuste'!$A62)</f>
        <v>0</v>
      </c>
      <c r="D62">
        <f>+COUNTIF(desglose!Q:Q,'pruebas de bondad de ajuste'!$A62)/'estadísticos descriptivos'!D$2</f>
        <v>0</v>
      </c>
      <c r="E62" s="4">
        <f>+COUNTIF(desglose!R:R,'pruebas de bondad de ajuste'!$A62)/'estadísticos descriptivos'!E$2</f>
        <v>0</v>
      </c>
      <c r="F62" s="3">
        <f>+_xlfn.POISSON.DIST($A62,'estadísticos descriptivos'!B$6,0)*'estadísticos descriptivos'!B$2</f>
        <v>3.7692554213919996E-55</v>
      </c>
      <c r="G62">
        <f>+_xlfn.POISSON.DIST($A62,'estadísticos descriptivos'!C$6,0)*'estadísticos descriptivos'!C$2</f>
        <v>6.455580879079279E-86</v>
      </c>
      <c r="H62">
        <f>+_xlfn.POISSON.DIST($A62,'estadísticos descriptivos'!D$6,0)*'estadísticos descriptivos'!D$2</f>
        <v>4.6127821433787542E-58</v>
      </c>
      <c r="I62">
        <f>+_xlfn.POISSON.DIST($A62,'estadísticos descriptivos'!E$6,0)*'estadísticos descriptivos'!E$2</f>
        <v>2.9265771493478415E-93</v>
      </c>
      <c r="J62">
        <f t="shared" si="0"/>
        <v>3.7692554213919996E-55</v>
      </c>
      <c r="K62">
        <f t="shared" si="1"/>
        <v>6.455580879079279E-86</v>
      </c>
      <c r="L62">
        <f t="shared" si="2"/>
        <v>4.6127821433787542E-58</v>
      </c>
      <c r="M62" s="4">
        <f t="shared" si="3"/>
        <v>2.9265771493478411E-93</v>
      </c>
      <c r="N62">
        <f>BINOMDIST($A62,90,'estadísticos descriptivos'!B$6/90,0)*'estadísticos descriptivos'!B$2</f>
        <v>4.8832280289122608E-65</v>
      </c>
      <c r="O62">
        <f>BINOMDIST($A62,90,'estadísticos descriptivos'!C$6/90,0)*'estadísticos descriptivos'!C$2</f>
        <v>2.6225618323378994E-96</v>
      </c>
      <c r="P62">
        <f>BINOMDIST($A62,90,'estadísticos descriptivos'!D$6/90,0)*'estadísticos descriptivos'!D$2</f>
        <v>5.0262276226851458E-68</v>
      </c>
      <c r="Q62">
        <f>BINOMDIST($A62,90,'estadísticos descriptivos'!E$6/90,0)*'estadísticos descriptivos'!E$2</f>
        <v>1.0579454976678863E-103</v>
      </c>
      <c r="R62" s="3">
        <f t="shared" si="4"/>
        <v>4.8832280289122608E-65</v>
      </c>
      <c r="S62">
        <f t="shared" si="5"/>
        <v>2.6225618323378994E-96</v>
      </c>
      <c r="T62">
        <f t="shared" si="6"/>
        <v>5.0262276226851458E-68</v>
      </c>
      <c r="U62">
        <f t="shared" si="7"/>
        <v>1.0579454976678863E-103</v>
      </c>
      <c r="V62" s="3">
        <f t="shared" si="13"/>
        <v>1.478251471463079E-71</v>
      </c>
      <c r="W62">
        <f t="shared" si="14"/>
        <v>6.5864292835246648E-27</v>
      </c>
      <c r="X62">
        <f t="shared" si="15"/>
        <v>5.6849509761095607E-22</v>
      </c>
      <c r="Y62" s="4" t="e">
        <f t="shared" si="16"/>
        <v>#DIV/0!</v>
      </c>
      <c r="Z62">
        <f t="shared" si="8"/>
        <v>1.478251471463079E-71</v>
      </c>
      <c r="AA62">
        <f t="shared" si="9"/>
        <v>6.5864292835246648E-27</v>
      </c>
      <c r="AB62">
        <f t="shared" si="10"/>
        <v>5.6849509761095607E-22</v>
      </c>
      <c r="AC62" s="4" t="e">
        <f t="shared" si="11"/>
        <v>#DIV/0!</v>
      </c>
    </row>
    <row r="63" spans="1:29">
      <c r="A63">
        <f t="shared" si="12"/>
        <v>59</v>
      </c>
      <c r="B63" s="3">
        <f>+COUNTIF(desglose!F:F,'pruebas de bondad de ajuste'!$A63)</f>
        <v>0</v>
      </c>
      <c r="C63">
        <f>+COUNTIF(desglose!G:G,'pruebas de bondad de ajuste'!$A63)</f>
        <v>0</v>
      </c>
      <c r="D63">
        <f>+COUNTIF(desglose!Q:Q,'pruebas de bondad de ajuste'!$A63)/'estadísticos descriptivos'!D$2</f>
        <v>0</v>
      </c>
      <c r="E63" s="4">
        <f>+COUNTIF(desglose!R:R,'pruebas de bondad de ajuste'!$A63)/'estadísticos descriptivos'!E$2</f>
        <v>0</v>
      </c>
      <c r="F63" s="3">
        <f>+_xlfn.POISSON.DIST($A63,'estadísticos descriptivos'!B$6,0)*'estadísticos descriptivos'!B$2</f>
        <v>1.6261810754849798E-56</v>
      </c>
      <c r="G63">
        <f>+_xlfn.POISSON.DIST($A63,'estadísticos descriptivos'!C$6,0)*'estadísticos descriptivos'!C$2</f>
        <v>7.9575727323012888E-88</v>
      </c>
      <c r="H63">
        <f>+_xlfn.POISSON.DIST($A63,'estadísticos descriptivos'!D$6,0)*'estadísticos descriptivos'!D$2</f>
        <v>1.7768806407468477E-59</v>
      </c>
      <c r="I63">
        <f>+_xlfn.POISSON.DIST($A63,'estadísticos descriptivos'!E$6,0)*'estadísticos descriptivos'!E$2</f>
        <v>2.7056183198901994E-95</v>
      </c>
      <c r="J63">
        <f t="shared" si="0"/>
        <v>1.6261810754849798E-56</v>
      </c>
      <c r="K63">
        <f t="shared" si="1"/>
        <v>7.9575727323012876E-88</v>
      </c>
      <c r="L63">
        <f t="shared" si="2"/>
        <v>1.7768806407468477E-59</v>
      </c>
      <c r="M63" s="4">
        <f t="shared" si="3"/>
        <v>2.7056183198901994E-95</v>
      </c>
      <c r="N63">
        <f>BINOMDIST($A63,90,'estadísticos descriptivos'!B$6/90,0)*'estadísticos descriptivos'!B$2</f>
        <v>7.7088204550995545E-67</v>
      </c>
      <c r="O63">
        <f>BINOMDIST($A63,90,'estadísticos descriptivos'!C$6/90,0)*'estadísticos descriptivos'!C$2</f>
        <v>1.1587832322111659E-98</v>
      </c>
      <c r="P63">
        <f>BINOMDIST($A63,90,'estadísticos descriptivos'!D$6/90,0)*'estadísticos descriptivos'!D$2</f>
        <v>7.0624081815197238E-70</v>
      </c>
      <c r="Q63">
        <f>BINOMDIST($A63,90,'estadísticos descriptivos'!E$6/90,0)*'estadísticos descriptivos'!E$2</f>
        <v>3.4987862676077897E-106</v>
      </c>
      <c r="R63" s="3">
        <f t="shared" si="4"/>
        <v>7.7088204550995545E-67</v>
      </c>
      <c r="S63">
        <f t="shared" si="5"/>
        <v>1.1587832322111659E-98</v>
      </c>
      <c r="T63">
        <f t="shared" si="6"/>
        <v>7.0624081815197238E-70</v>
      </c>
      <c r="U63">
        <f t="shared" si="7"/>
        <v>3.4987862676077897E-106</v>
      </c>
      <c r="V63" s="3">
        <f t="shared" si="13"/>
        <v>-1.1596618195528417E-72</v>
      </c>
      <c r="W63">
        <f t="shared" si="14"/>
        <v>2.1672188604210104E-27</v>
      </c>
      <c r="X63">
        <f t="shared" si="15"/>
        <v>2.1405649483690886E-22</v>
      </c>
      <c r="Y63" s="4" t="e">
        <f t="shared" si="16"/>
        <v>#DIV/0!</v>
      </c>
      <c r="Z63">
        <f t="shared" si="8"/>
        <v>-1.1596618195528417E-72</v>
      </c>
      <c r="AA63">
        <f t="shared" si="9"/>
        <v>2.1672188604210104E-27</v>
      </c>
      <c r="AB63">
        <f t="shared" si="10"/>
        <v>2.1405649483690886E-22</v>
      </c>
      <c r="AC63" s="4" t="e">
        <f t="shared" si="11"/>
        <v>#DIV/0!</v>
      </c>
    </row>
    <row r="64" spans="1:29">
      <c r="A64">
        <f t="shared" si="12"/>
        <v>60</v>
      </c>
      <c r="B64" s="3">
        <f>+COUNTIF(desglose!F:F,'pruebas de bondad de ajuste'!$A64)</f>
        <v>0</v>
      </c>
      <c r="C64">
        <f>+COUNTIF(desglose!G:G,'pruebas de bondad de ajuste'!$A64)</f>
        <v>0</v>
      </c>
      <c r="D64">
        <f>+COUNTIF(desglose!Q:Q,'pruebas de bondad de ajuste'!$A64)/'estadísticos descriptivos'!D$2</f>
        <v>0</v>
      </c>
      <c r="E64" s="4">
        <f>+COUNTIF(desglose!R:R,'pruebas de bondad de ajuste'!$A64)/'estadísticos descriptivos'!E$2</f>
        <v>0</v>
      </c>
      <c r="F64" s="3">
        <f>+_xlfn.POISSON.DIST($A64,'estadísticos descriptivos'!B$6,0)*'estadísticos descriptivos'!B$2</f>
        <v>6.8989500172091411E-58</v>
      </c>
      <c r="G64">
        <f>+_xlfn.POISSON.DIST($A64,'estadísticos descriptivos'!C$6,0)*'estadísticos descriptivos'!C$2</f>
        <v>9.6455427058192939E-90</v>
      </c>
      <c r="H64">
        <f>+_xlfn.POISSON.DIST($A64,'estadísticos descriptivos'!D$6,0)*'estadísticos descriptivos'!D$2</f>
        <v>6.7306084876771559E-61</v>
      </c>
      <c r="I64">
        <f>+_xlfn.POISSON.DIST($A64,'estadísticos descriptivos'!E$6,0)*'estadísticos descriptivos'!E$2</f>
        <v>2.4596530180818958E-97</v>
      </c>
      <c r="J64">
        <f t="shared" si="0"/>
        <v>6.8989500172091411E-58</v>
      </c>
      <c r="K64">
        <f t="shared" si="1"/>
        <v>9.6455427058192939E-90</v>
      </c>
      <c r="L64">
        <f t="shared" si="2"/>
        <v>6.7306084876771559E-61</v>
      </c>
      <c r="M64" s="4">
        <f t="shared" si="3"/>
        <v>2.4596530180818958E-97</v>
      </c>
      <c r="N64">
        <f>BINOMDIST($A64,90,'estadísticos descriptivos'!B$6/90,0)*'estadísticos descriptivos'!B$2</f>
        <v>1.1592612881196392E-68</v>
      </c>
      <c r="O64">
        <f>BINOMDIST($A64,90,'estadísticos descriptivos'!C$6/90,0)*'estadísticos descriptivos'!C$2</f>
        <v>4.8774311199654988E-101</v>
      </c>
      <c r="P64">
        <f>BINOMDIST($A64,90,'estadísticos descriptivos'!D$6/90,0)*'estadísticos descriptivos'!D$2</f>
        <v>9.4531370305312634E-72</v>
      </c>
      <c r="Q64">
        <f>BINOMDIST($A64,90,'estadísticos descriptivos'!E$6/90,0)*'estadísticos descriptivos'!E$2</f>
        <v>1.1022599013804789E-108</v>
      </c>
      <c r="R64" s="3">
        <f t="shared" si="4"/>
        <v>1.1592612881196392E-68</v>
      </c>
      <c r="S64">
        <f t="shared" si="5"/>
        <v>4.8774311199654988E-101</v>
      </c>
      <c r="T64">
        <f t="shared" si="6"/>
        <v>9.4531370305312634E-72</v>
      </c>
      <c r="U64">
        <f t="shared" si="7"/>
        <v>1.1022599013804789E-108</v>
      </c>
      <c r="V64" s="3">
        <f t="shared" si="13"/>
        <v>9.1924226714058042E-74</v>
      </c>
      <c r="W64">
        <f t="shared" si="14"/>
        <v>7.1301143526158016E-28</v>
      </c>
      <c r="X64">
        <f t="shared" si="15"/>
        <v>8.0534720769088687E-23</v>
      </c>
      <c r="Y64" s="4" t="e">
        <f t="shared" si="16"/>
        <v>#DIV/0!</v>
      </c>
      <c r="Z64">
        <f t="shared" si="8"/>
        <v>9.1924226714058042E-74</v>
      </c>
      <c r="AA64">
        <f t="shared" si="9"/>
        <v>7.1301143526158016E-28</v>
      </c>
      <c r="AB64">
        <f t="shared" si="10"/>
        <v>8.0534720769088687E-23</v>
      </c>
      <c r="AC64" s="4" t="e">
        <f t="shared" si="11"/>
        <v>#DIV/0!</v>
      </c>
    </row>
    <row r="65" spans="1:29">
      <c r="A65">
        <f t="shared" si="12"/>
        <v>61</v>
      </c>
      <c r="B65" s="3">
        <f>+COUNTIF(desglose!F:F,'pruebas de bondad de ajuste'!$A65)</f>
        <v>0</v>
      </c>
      <c r="C65">
        <f>+COUNTIF(desglose!G:G,'pruebas de bondad de ajuste'!$A65)</f>
        <v>0</v>
      </c>
      <c r="D65">
        <f>+COUNTIF(desglose!Q:Q,'pruebas de bondad de ajuste'!$A65)/'estadísticos descriptivos'!D$2</f>
        <v>0</v>
      </c>
      <c r="E65" s="4">
        <f>+COUNTIF(desglose!R:R,'pruebas de bondad de ajuste'!$A65)/'estadísticos descriptivos'!E$2</f>
        <v>0</v>
      </c>
      <c r="F65" s="3">
        <f>+_xlfn.POISSON.DIST($A65,'estadísticos descriptivos'!B$6,0)*'estadísticos descriptivos'!B$2</f>
        <v>2.8788465049456932E-59</v>
      </c>
      <c r="G65">
        <f>+_xlfn.POISSON.DIST($A65,'estadísticos descriptivos'!C$6,0)*'estadísticos descriptivos'!C$2</f>
        <v>1.1499901884732527E-91</v>
      </c>
      <c r="H65">
        <f>+_xlfn.POISSON.DIST($A65,'estadísticos descriptivos'!D$6,0)*'estadísticos descriptivos'!D$2</f>
        <v>2.5076782740972834E-62</v>
      </c>
      <c r="I65">
        <f>+_xlfn.POISSON.DIST($A65,'estadísticos descriptivos'!E$6,0)*'estadísticos descriptivos'!E$2</f>
        <v>2.1993916704160222E-99</v>
      </c>
      <c r="J65">
        <f t="shared" si="0"/>
        <v>2.8788465049456932E-59</v>
      </c>
      <c r="K65">
        <f t="shared" si="1"/>
        <v>1.1499901884732527E-91</v>
      </c>
      <c r="L65">
        <f t="shared" si="2"/>
        <v>2.5076782740972834E-62</v>
      </c>
      <c r="M65" s="4">
        <f t="shared" si="3"/>
        <v>2.1993916704160222E-99</v>
      </c>
      <c r="N65">
        <f>BINOMDIST($A65,90,'estadísticos descriptivos'!B$6/90,0)*'estadísticos descriptivos'!B$2</f>
        <v>1.6594176783690253E-70</v>
      </c>
      <c r="O65">
        <f>BINOMDIST($A65,90,'estadísticos descriptivos'!C$6/90,0)*'estadísticos descriptivos'!C$2</f>
        <v>1.9541642495938988E-103</v>
      </c>
      <c r="P65">
        <f>BINOMDIST($A65,90,'estadísticos descriptivos'!D$6/90,0)*'estadísticos descriptivos'!D$2</f>
        <v>1.2044258511676487E-73</v>
      </c>
      <c r="Q65">
        <f>BINOMDIST($A65,90,'estadísticos descriptivos'!E$6/90,0)*'estadísticos descriptivos'!E$2</f>
        <v>3.3054575211330778E-111</v>
      </c>
      <c r="R65" s="3">
        <f t="shared" si="4"/>
        <v>1.6594176783690253E-70</v>
      </c>
      <c r="S65">
        <f t="shared" si="5"/>
        <v>1.9541642495938988E-103</v>
      </c>
      <c r="T65">
        <f t="shared" si="6"/>
        <v>1.2044258511676487E-73</v>
      </c>
      <c r="U65">
        <f t="shared" si="7"/>
        <v>3.3054575211330778E-111</v>
      </c>
      <c r="V65" s="3">
        <f t="shared" si="13"/>
        <v>-7.3596011969560334E-75</v>
      </c>
      <c r="W65">
        <f t="shared" si="14"/>
        <v>2.345487377640077E-28</v>
      </c>
      <c r="X65">
        <f t="shared" si="15"/>
        <v>3.0276236865288038E-23</v>
      </c>
      <c r="Y65" s="4" t="e">
        <f t="shared" si="16"/>
        <v>#DIV/0!</v>
      </c>
      <c r="Z65">
        <f t="shared" si="8"/>
        <v>-7.3596011969560334E-75</v>
      </c>
      <c r="AA65">
        <f t="shared" si="9"/>
        <v>2.345487377640077E-28</v>
      </c>
      <c r="AB65">
        <f t="shared" si="10"/>
        <v>3.0276236865288038E-23</v>
      </c>
      <c r="AC65" s="4" t="e">
        <f t="shared" si="11"/>
        <v>#DIV/0!</v>
      </c>
    </row>
    <row r="66" spans="1:29">
      <c r="A66">
        <f t="shared" si="12"/>
        <v>62</v>
      </c>
      <c r="B66" s="3">
        <f>+COUNTIF(desglose!F:F,'pruebas de bondad de ajuste'!$A66)</f>
        <v>0</v>
      </c>
      <c r="C66">
        <f>+COUNTIF(desglose!G:G,'pruebas de bondad de ajuste'!$A66)</f>
        <v>0</v>
      </c>
      <c r="D66">
        <f>+COUNTIF(desglose!Q:Q,'pruebas de bondad de ajuste'!$A66)/'estadísticos descriptivos'!D$2</f>
        <v>0</v>
      </c>
      <c r="E66" s="4">
        <f>+COUNTIF(desglose!R:R,'pruebas de bondad de ajuste'!$A66)/'estadísticos descriptivos'!E$2</f>
        <v>0</v>
      </c>
      <c r="F66" s="3">
        <f>+_xlfn.POISSON.DIST($A66,'estadísticos descriptivos'!B$6,0)*'estadísticos descriptivos'!B$2</f>
        <v>1.1819311163999747E-60</v>
      </c>
      <c r="G66">
        <f>+_xlfn.POISSON.DIST($A66,'estadísticos descriptivos'!C$6,0)*'estadísticos descriptivos'!C$2</f>
        <v>1.3489620979158905E-93</v>
      </c>
      <c r="H66">
        <f>+_xlfn.POISSON.DIST($A66,'estadísticos descriptivos'!D$6,0)*'estadísticos descriptivos'!D$2</f>
        <v>9.1923690399461202E-64</v>
      </c>
      <c r="I66">
        <f>+_xlfn.POISSON.DIST($A66,'estadísticos descriptivos'!E$6,0)*'estadísticos descriptivos'!E$2</f>
        <v>1.9349486836505288E-101</v>
      </c>
      <c r="J66">
        <f t="shared" si="0"/>
        <v>1.1819311163999747E-60</v>
      </c>
      <c r="K66">
        <f t="shared" si="1"/>
        <v>1.3489620979158905E-93</v>
      </c>
      <c r="L66">
        <f t="shared" si="2"/>
        <v>9.1923690399461202E-64</v>
      </c>
      <c r="M66" s="4">
        <f t="shared" si="3"/>
        <v>1.9349486836505288E-101</v>
      </c>
      <c r="N66">
        <f>BINOMDIST($A66,90,'estadísticos descriptivos'!B$6/90,0)*'estadísticos descriptivos'!B$2</f>
        <v>2.2591495453618282E-72</v>
      </c>
      <c r="O66">
        <f>BINOMDIST($A66,90,'estadísticos descriptivos'!C$6/90,0)*'estadísticos descriptivos'!C$2</f>
        <v>7.4463915955880702E-106</v>
      </c>
      <c r="P66">
        <f>BINOMDIST($A66,90,'estadísticos descriptivos'!D$6/90,0)*'estadísticos descriptivos'!D$2</f>
        <v>1.4594831056268521E-75</v>
      </c>
      <c r="Q66">
        <f>BINOMDIST($A66,90,'estadísticos descriptivos'!E$6/90,0)*'estadísticos descriptivos'!E$2</f>
        <v>9.4274457231370728E-114</v>
      </c>
      <c r="R66" s="3">
        <f t="shared" si="4"/>
        <v>2.2591495453618282E-72</v>
      </c>
      <c r="S66">
        <f t="shared" si="5"/>
        <v>7.4463915955880702E-106</v>
      </c>
      <c r="T66">
        <f t="shared" si="6"/>
        <v>1.4594831056268521E-75</v>
      </c>
      <c r="U66">
        <f t="shared" si="7"/>
        <v>9.4274457231370728E-114</v>
      </c>
      <c r="V66" s="3">
        <f t="shared" si="13"/>
        <v>5.9487575073479708E-76</v>
      </c>
      <c r="W66">
        <f t="shared" si="14"/>
        <v>7.7146174034204037E-29</v>
      </c>
      <c r="X66">
        <f t="shared" si="15"/>
        <v>1.1373523775477359E-23</v>
      </c>
      <c r="Y66" s="4" t="e">
        <f t="shared" si="16"/>
        <v>#DIV/0!</v>
      </c>
      <c r="Z66">
        <f t="shared" si="8"/>
        <v>5.9487575073479708E-76</v>
      </c>
      <c r="AA66">
        <f t="shared" si="9"/>
        <v>7.7146174034204048E-29</v>
      </c>
      <c r="AB66">
        <f t="shared" si="10"/>
        <v>1.137352377547736E-23</v>
      </c>
      <c r="AC66" s="4" t="e">
        <f t="shared" si="11"/>
        <v>#DIV/0!</v>
      </c>
    </row>
    <row r="67" spans="1:29">
      <c r="A67">
        <f t="shared" si="12"/>
        <v>63</v>
      </c>
      <c r="B67" s="3">
        <f>+COUNTIF(desglose!F:F,'pruebas de bondad de ajuste'!$A67)</f>
        <v>0</v>
      </c>
      <c r="C67">
        <f>+COUNTIF(desglose!G:G,'pruebas de bondad de ajuste'!$A67)</f>
        <v>0</v>
      </c>
      <c r="D67">
        <f>+COUNTIF(desglose!Q:Q,'pruebas de bondad de ajuste'!$A67)/'estadísticos descriptivos'!D$2</f>
        <v>0</v>
      </c>
      <c r="E67" s="4">
        <f>+COUNTIF(desglose!R:R,'pruebas de bondad de ajuste'!$A67)/'estadísticos descriptivos'!E$2</f>
        <v>0</v>
      </c>
      <c r="F67" s="3">
        <f>+_xlfn.POISSON.DIST($A67,'estadísticos descriptivos'!B$6,0)*'estadísticos descriptivos'!B$2</f>
        <v>4.7754792581815424E-62</v>
      </c>
      <c r="G67">
        <f>+_xlfn.POISSON.DIST($A67,'estadísticos descriptivos'!C$6,0)*'estadísticos descriptivos'!C$2</f>
        <v>1.5572434030775007E-95</v>
      </c>
      <c r="H67">
        <f>+_xlfn.POISSON.DIST($A67,'estadísticos descriptivos'!D$6,0)*'estadísticos descriptivos'!D$2</f>
        <v>3.3161504473110543E-65</v>
      </c>
      <c r="I67">
        <f>+_xlfn.POISSON.DIST($A67,'estadísticos descriptivos'!E$6,0)*'estadísticos descriptivos'!E$2</f>
        <v>1.6752802455848743E-103</v>
      </c>
      <c r="J67">
        <f t="shared" si="0"/>
        <v>4.7754792581815424E-62</v>
      </c>
      <c r="K67">
        <f t="shared" si="1"/>
        <v>1.5572434030775007E-95</v>
      </c>
      <c r="L67">
        <f t="shared" si="2"/>
        <v>3.3161504473110543E-65</v>
      </c>
      <c r="M67" s="4">
        <f t="shared" si="3"/>
        <v>1.6752802455848745E-103</v>
      </c>
      <c r="N67">
        <f>BINOMDIST($A67,90,'estadísticos descriptivos'!B$6/90,0)*'estadísticos descriptivos'!B$2</f>
        <v>2.9224387743186946E-74</v>
      </c>
      <c r="O67">
        <f>BINOMDIST($A67,90,'estadísticos descriptivos'!C$6/90,0)*'estadísticos descriptivos'!C$2</f>
        <v>2.6961363550442812E-108</v>
      </c>
      <c r="P67">
        <f>BINOMDIST($A67,90,'estadísticos descriptivos'!D$6/90,0)*'estadísticos descriptivos'!D$2</f>
        <v>1.6804641400424487E-77</v>
      </c>
      <c r="Q67">
        <f>BINOMDIST($A67,90,'estadísticos descriptivos'!E$6/90,0)*'estadísticos descriptivos'!E$2</f>
        <v>2.5548633396035261E-116</v>
      </c>
      <c r="R67" s="3">
        <f t="shared" si="4"/>
        <v>2.9224387743186949E-74</v>
      </c>
      <c r="S67">
        <f t="shared" si="5"/>
        <v>2.6961363550442812E-108</v>
      </c>
      <c r="T67">
        <f t="shared" si="6"/>
        <v>1.6804641400424487E-77</v>
      </c>
      <c r="U67">
        <f t="shared" si="7"/>
        <v>2.5548633396035261E-116</v>
      </c>
      <c r="V67" s="3">
        <f t="shared" si="13"/>
        <v>-4.8526492160674597E-77</v>
      </c>
      <c r="W67">
        <f t="shared" si="14"/>
        <v>2.5371263425273893E-29</v>
      </c>
      <c r="X67">
        <f t="shared" si="15"/>
        <v>4.2694559357635764E-24</v>
      </c>
      <c r="Y67" s="4" t="e">
        <f t="shared" si="16"/>
        <v>#DIV/0!</v>
      </c>
      <c r="Z67">
        <f t="shared" si="8"/>
        <v>-4.8526492160674597E-77</v>
      </c>
      <c r="AA67">
        <f t="shared" si="9"/>
        <v>2.5371263425273893E-29</v>
      </c>
      <c r="AB67">
        <f t="shared" si="10"/>
        <v>4.2694559357635764E-24</v>
      </c>
      <c r="AC67" s="4" t="e">
        <f t="shared" si="11"/>
        <v>#DIV/0!</v>
      </c>
    </row>
    <row r="68" spans="1:29">
      <c r="A68">
        <f t="shared" si="12"/>
        <v>64</v>
      </c>
      <c r="B68" s="3">
        <f>+COUNTIF(desglose!F:F,'pruebas de bondad de ajuste'!$A68)</f>
        <v>0</v>
      </c>
      <c r="C68">
        <f>+COUNTIF(desglose!G:G,'pruebas de bondad de ajuste'!$A68)</f>
        <v>0</v>
      </c>
      <c r="D68">
        <f>+COUNTIF(desglose!Q:Q,'pruebas de bondad de ajuste'!$A68)/'estadísticos descriptivos'!D$2</f>
        <v>0</v>
      </c>
      <c r="E68" s="4">
        <f>+COUNTIF(desglose!R:R,'pruebas de bondad de ajuste'!$A68)/'estadísticos descriptivos'!E$2</f>
        <v>0</v>
      </c>
      <c r="F68" s="3">
        <f>+_xlfn.POISSON.DIST($A68,'estadísticos descriptivos'!B$6,0)*'estadísticos descriptivos'!B$2</f>
        <v>1.899338341322305E-63</v>
      </c>
      <c r="G68">
        <f>+_xlfn.POISSON.DIST($A68,'estadísticos descriptivos'!C$6,0)*'estadísticos descriptivos'!C$2</f>
        <v>1.7695947762244129E-97</v>
      </c>
      <c r="H68">
        <f>+_xlfn.POISSON.DIST($A68,'estadísticos descriptivos'!D$6,0)*'estadísticos descriptivos'!D$2</f>
        <v>1.1776102440735147E-66</v>
      </c>
      <c r="I68">
        <f>+_xlfn.POISSON.DIST($A68,'estadísticos descriptivos'!E$6,0)*'estadísticos descriptivos'!E$2</f>
        <v>1.4277956638507253E-105</v>
      </c>
      <c r="J68">
        <f t="shared" si="0"/>
        <v>1.899338341322305E-63</v>
      </c>
      <c r="K68">
        <f t="shared" si="1"/>
        <v>1.7695947762244126E-97</v>
      </c>
      <c r="L68">
        <f t="shared" si="2"/>
        <v>1.1776102440735147E-66</v>
      </c>
      <c r="M68" s="4">
        <f t="shared" si="3"/>
        <v>1.4277956638507253E-105</v>
      </c>
      <c r="N68">
        <f>BINOMDIST($A68,90,'estadísticos descriptivos'!B$6/90,0)*'estadísticos descriptivos'!B$2</f>
        <v>3.5884935573432069E-76</v>
      </c>
      <c r="O68">
        <f>BINOMDIST($A68,90,'estadísticos descriptivos'!C$6/90,0)*'estadísticos descriptivos'!C$2</f>
        <v>9.2662527477331566E-111</v>
      </c>
      <c r="P68">
        <f>BINOMDIST($A68,90,'estadísticos descriptivos'!D$6/90,0)*'estadísticos descriptivos'!D$2</f>
        <v>1.8366471737833969E-79</v>
      </c>
      <c r="Q68">
        <f>BINOMDIST($A68,90,'estadísticos descriptivos'!E$6/90,0)*'estadísticos descriptivos'!E$2</f>
        <v>6.5721522646052173E-119</v>
      </c>
      <c r="R68" s="3">
        <f t="shared" si="4"/>
        <v>3.5884935573432069E-76</v>
      </c>
      <c r="S68">
        <f t="shared" si="5"/>
        <v>9.2662527477331566E-111</v>
      </c>
      <c r="T68">
        <f t="shared" si="6"/>
        <v>1.8366471737833969E-79</v>
      </c>
      <c r="U68">
        <f t="shared" si="7"/>
        <v>6.5721522646052173E-119</v>
      </c>
      <c r="V68" s="3">
        <f t="shared" si="13"/>
        <v>3.9935137900454714E-78</v>
      </c>
      <c r="W68">
        <f t="shared" si="14"/>
        <v>8.3429155666826304E-30</v>
      </c>
      <c r="X68">
        <f t="shared" si="15"/>
        <v>1.6015624394117005E-24</v>
      </c>
      <c r="Y68" s="4" t="e">
        <f t="shared" si="16"/>
        <v>#DIV/0!</v>
      </c>
      <c r="Z68">
        <f t="shared" si="8"/>
        <v>3.9935137900454714E-78</v>
      </c>
      <c r="AA68">
        <f t="shared" si="9"/>
        <v>8.3429155666826304E-30</v>
      </c>
      <c r="AB68">
        <f t="shared" si="10"/>
        <v>1.6015624394117004E-24</v>
      </c>
      <c r="AC68" s="4" t="e">
        <f t="shared" si="11"/>
        <v>#DIV/0!</v>
      </c>
    </row>
    <row r="69" spans="1:29">
      <c r="A69">
        <f t="shared" si="12"/>
        <v>65</v>
      </c>
      <c r="B69" s="3">
        <f>+COUNTIF(desglose!F:F,'pruebas de bondad de ajuste'!$A69)</f>
        <v>0</v>
      </c>
      <c r="C69">
        <f>+COUNTIF(desglose!G:G,'pruebas de bondad de ajuste'!$A69)</f>
        <v>0</v>
      </c>
      <c r="D69">
        <f>+COUNTIF(desglose!Q:Q,'pruebas de bondad de ajuste'!$A69)/'estadísticos descriptivos'!D$2</f>
        <v>0</v>
      </c>
      <c r="E69" s="4">
        <f>+COUNTIF(desglose!R:R,'pruebas de bondad de ajuste'!$A69)/'estadísticos descriptivos'!E$2</f>
        <v>0</v>
      </c>
      <c r="F69" s="3">
        <f>+_xlfn.POISSON.DIST($A69,'estadísticos descriptivos'!B$6,0)*'estadísticos descriptivos'!B$2</f>
        <v>7.4379683296538371E-65</v>
      </c>
      <c r="G69">
        <f>+_xlfn.POISSON.DIST($A69,'estadísticos descriptivos'!C$6,0)*'estadísticos descriptivos'!C$2</f>
        <v>1.9799661831881921E-99</v>
      </c>
      <c r="H69">
        <f>+_xlfn.POISSON.DIST($A69,'estadísticos descriptivos'!D$6,0)*'estadísticos descriptivos'!D$2</f>
        <v>4.1175183359213819E-68</v>
      </c>
      <c r="I69">
        <f>+_xlfn.POISSON.DIST($A69,'estadísticos descriptivos'!E$6,0)*'estadísticos descriptivos'!E$2</f>
        <v>1.1981502074272021E-107</v>
      </c>
      <c r="J69">
        <f t="shared" ref="J69:J94" si="17">+($B69-F69)^2/F69</f>
        <v>7.4379683296538371E-65</v>
      </c>
      <c r="K69">
        <f t="shared" ref="K69:K94" si="18">+($C69-G69)^2/G69</f>
        <v>1.9799661831881921E-99</v>
      </c>
      <c r="L69">
        <f t="shared" ref="L69:L94" si="19">+($D69-H69)^2/H69</f>
        <v>4.1175183359213819E-68</v>
      </c>
      <c r="M69" s="4">
        <f t="shared" ref="M69:M94" si="20">+($E69-I69)^2/I69</f>
        <v>1.1981502074272021E-107</v>
      </c>
      <c r="N69">
        <f>BINOMDIST($A69,90,'estadísticos descriptivos'!B$6/90,0)*'estadísticos descriptivos'!B$2</f>
        <v>4.1778719170732013E-78</v>
      </c>
      <c r="O69">
        <f>BINOMDIST($A69,90,'estadísticos descriptivos'!C$6/90,0)*'estadísticos descriptivos'!C$2</f>
        <v>3.0195528302183934E-113</v>
      </c>
      <c r="P69">
        <f>BINOMDIST($A69,90,'estadísticos descriptivos'!D$6/90,0)*'estadísticos descriptivos'!D$2</f>
        <v>1.9032613199828113E-81</v>
      </c>
      <c r="Q69">
        <f>BINOMDIST($A69,90,'estadísticos descriptivos'!E$6/90,0)*'estadísticos descriptivos'!E$2</f>
        <v>1.6029639669769155E-121</v>
      </c>
      <c r="R69" s="3">
        <f t="shared" ref="R69:R94" si="21">+($B69-N69)^2/N69</f>
        <v>4.1778719170732013E-78</v>
      </c>
      <c r="S69">
        <f t="shared" ref="S69:S94" si="22">+($C69-O69)^2/O69</f>
        <v>3.0195528302183934E-113</v>
      </c>
      <c r="T69">
        <f t="shared" ref="T69:T94" si="23">+($D69-P69)^2/P69</f>
        <v>1.9032613199828113E-81</v>
      </c>
      <c r="U69">
        <f t="shared" ref="U69:U94" si="24">+($E69-Q69)^2/Q69</f>
        <v>1.6029639669769155E-121</v>
      </c>
      <c r="V69" s="3">
        <f t="shared" si="13"/>
        <v>-3.3144188636425258E-79</v>
      </c>
      <c r="W69">
        <f t="shared" si="14"/>
        <v>2.7431099942824706E-30</v>
      </c>
      <c r="X69">
        <f t="shared" si="15"/>
        <v>6.0036881977448311E-25</v>
      </c>
      <c r="Y69" s="4" t="e">
        <f t="shared" si="16"/>
        <v>#DIV/0!</v>
      </c>
      <c r="Z69">
        <f t="shared" ref="Z69:Z94" si="25">+($B69-V69)^2/V69</f>
        <v>-3.3144188636425258E-79</v>
      </c>
      <c r="AA69">
        <f t="shared" ref="AA69:AA94" si="26">+($C69-W69)^2/W69</f>
        <v>2.7431099942824706E-30</v>
      </c>
      <c r="AB69">
        <f t="shared" ref="AB69:AB94" si="27">+($D69-X69)^2/X69</f>
        <v>6.0036881977448311E-25</v>
      </c>
      <c r="AC69" s="4" t="e">
        <f t="shared" ref="AC69:AC94" si="28">+($E69-Y69)^2/Y69</f>
        <v>#DIV/0!</v>
      </c>
    </row>
    <row r="70" spans="1:29">
      <c r="A70">
        <f t="shared" ref="A70:A94" si="29">1+A69</f>
        <v>66</v>
      </c>
      <c r="B70" s="3">
        <f>+COUNTIF(desglose!F:F,'pruebas de bondad de ajuste'!$A70)</f>
        <v>0</v>
      </c>
      <c r="C70">
        <f>+COUNTIF(desglose!G:G,'pruebas de bondad de ajuste'!$A70)</f>
        <v>0</v>
      </c>
      <c r="D70">
        <f>+COUNTIF(desglose!Q:Q,'pruebas de bondad de ajuste'!$A70)/'estadísticos descriptivos'!D$2</f>
        <v>0</v>
      </c>
      <c r="E70" s="4">
        <f>+COUNTIF(desglose!R:R,'pruebas de bondad de ajuste'!$A70)/'estadísticos descriptivos'!E$2</f>
        <v>0</v>
      </c>
      <c r="F70" s="3">
        <f>+_xlfn.POISSON.DIST($A70,'estadísticos descriptivos'!B$6,0)*'estadísticos descriptivos'!B$2</f>
        <v>2.868637923282477E-66</v>
      </c>
      <c r="G70">
        <f>+_xlfn.POISSON.DIST($A70,'estadísticos descriptivos'!C$6,0)*'estadísticos descriptivos'!C$2</f>
        <v>2.1817809181136612E-101</v>
      </c>
      <c r="H70">
        <f>+_xlfn.POISSON.DIST($A70,'estadísticos descriptivos'!D$6,0)*'estadísticos descriptivos'!D$2</f>
        <v>1.4178782148489935E-69</v>
      </c>
      <c r="I70">
        <f>+_xlfn.POISSON.DIST($A70,'estadísticos descriptivos'!E$6,0)*'estadísticos descriptivos'!E$2</f>
        <v>9.9020678299766969E-110</v>
      </c>
      <c r="J70">
        <f t="shared" si="17"/>
        <v>2.868637923282477E-66</v>
      </c>
      <c r="K70">
        <f t="shared" si="18"/>
        <v>2.1817809181136612E-101</v>
      </c>
      <c r="L70">
        <f t="shared" si="19"/>
        <v>1.4178782148489935E-69</v>
      </c>
      <c r="M70" s="4">
        <f t="shared" si="20"/>
        <v>9.9020678299766969E-110</v>
      </c>
      <c r="N70">
        <f>BINOMDIST($A70,90,'estadísticos descriptivos'!B$6/90,0)*'estadísticos descriptivos'!B$2</f>
        <v>4.6061083946815583E-80</v>
      </c>
      <c r="O70">
        <f>BINOMDIST($A70,90,'estadísticos descriptivos'!C$6/90,0)*'estadísticos descriptivos'!C$2</f>
        <v>9.3178819669766505E-116</v>
      </c>
      <c r="P70">
        <f>BINOMDIST($A70,90,'estadísticos descriptivos'!D$6/90,0)*'estadísticos descriptivos'!D$2</f>
        <v>1.867700306153685E-83</v>
      </c>
      <c r="Q70">
        <f>BINOMDIST($A70,90,'estadísticos descriptivos'!E$6/90,0)*'estadísticos descriptivos'!E$2</f>
        <v>3.702337322101276E-124</v>
      </c>
      <c r="R70" s="3">
        <f t="shared" si="21"/>
        <v>4.6061083946815583E-80</v>
      </c>
      <c r="S70">
        <f t="shared" si="22"/>
        <v>9.3178819669766505E-116</v>
      </c>
      <c r="T70">
        <f t="shared" si="23"/>
        <v>1.867700306153685E-83</v>
      </c>
      <c r="U70">
        <f t="shared" si="24"/>
        <v>3.702337322101276E-124</v>
      </c>
      <c r="V70" s="3">
        <f t="shared" ref="V70:V94" si="30">+($A70+AD$1)/(($A70+1)*(1+AD$2))*V69</f>
        <v>2.7732964198823685E-80</v>
      </c>
      <c r="W70">
        <f t="shared" ref="W70:W94" si="31">+($A70+AE$1)/(($A70+1)*(1+AE$2))*W69</f>
        <v>9.0181969361413861E-31</v>
      </c>
      <c r="X70">
        <f t="shared" ref="X70:X94" si="32">+($A70+AF$1)/(($A70+1)*(1+AF$2))*X69</f>
        <v>2.2490751736592969E-25</v>
      </c>
      <c r="Y70" s="4" t="e">
        <f t="shared" ref="Y70:Y94" si="33">+($A70+AG$1)/(($A70+1)*(1+AG$2))*Y69</f>
        <v>#DIV/0!</v>
      </c>
      <c r="Z70">
        <f t="shared" si="25"/>
        <v>2.7732964198823685E-80</v>
      </c>
      <c r="AA70">
        <f t="shared" si="26"/>
        <v>9.0181969361413861E-31</v>
      </c>
      <c r="AB70">
        <f t="shared" si="27"/>
        <v>2.2490751736592969E-25</v>
      </c>
      <c r="AC70" s="4" t="e">
        <f t="shared" si="28"/>
        <v>#DIV/0!</v>
      </c>
    </row>
    <row r="71" spans="1:29">
      <c r="A71">
        <f t="shared" si="29"/>
        <v>67</v>
      </c>
      <c r="B71" s="3">
        <f>+COUNTIF(desglose!F:F,'pruebas de bondad de ajuste'!$A71)</f>
        <v>0</v>
      </c>
      <c r="C71">
        <f>+COUNTIF(desglose!G:G,'pruebas de bondad de ajuste'!$A71)</f>
        <v>0</v>
      </c>
      <c r="D71">
        <f>+COUNTIF(desglose!Q:Q,'pruebas de bondad de ajuste'!$A71)/'estadísticos descriptivos'!D$2</f>
        <v>0</v>
      </c>
      <c r="E71" s="4">
        <f>+COUNTIF(desglose!R:R,'pruebas de bondad de ajuste'!$A71)/'estadísticos descriptivos'!E$2</f>
        <v>0</v>
      </c>
      <c r="F71" s="3">
        <f>+_xlfn.POISSON.DIST($A71,'estadísticos descriptivos'!B$6,0)*'estadísticos descriptivos'!B$2</f>
        <v>1.0898488718033818E-67</v>
      </c>
      <c r="G71">
        <f>+_xlfn.POISSON.DIST($A71,'estadísticos descriptivos'!C$6,0)*'estadísticos descriptivos'!C$2</f>
        <v>2.3682832218329715E-103</v>
      </c>
      <c r="H71">
        <f>+_xlfn.POISSON.DIST($A71,'estadísticos descriptivos'!D$6,0)*'estadísticos descriptivos'!D$2</f>
        <v>4.8096275944675082E-71</v>
      </c>
      <c r="I71">
        <f>+_xlfn.POISSON.DIST($A71,'estadísticos descriptivos'!E$6,0)*'estadísticos descriptivos'!E$2</f>
        <v>8.0613849362088278E-112</v>
      </c>
      <c r="J71">
        <f t="shared" si="17"/>
        <v>1.0898488718033818E-67</v>
      </c>
      <c r="K71">
        <f t="shared" si="18"/>
        <v>2.3682832218329715E-103</v>
      </c>
      <c r="L71">
        <f t="shared" si="19"/>
        <v>4.8096275944675082E-71</v>
      </c>
      <c r="M71" s="4">
        <f t="shared" si="20"/>
        <v>8.0613849362088287E-112</v>
      </c>
      <c r="N71">
        <f>BINOMDIST($A71,90,'estadísticos descriptivos'!B$6/90,0)*'estadísticos descriptivos'!B$2</f>
        <v>4.8023471642196052E-82</v>
      </c>
      <c r="O71">
        <f>BINOMDIST($A71,90,'estadísticos descriptivos'!C$6/90,0)*'estadísticos descriptivos'!C$2</f>
        <v>2.7191435961632123E-118</v>
      </c>
      <c r="P71">
        <f>BINOMDIST($A71,90,'estadísticos descriptivos'!D$6/90,0)*'estadísticos descriptivos'!D$2</f>
        <v>1.7332305060586931E-85</v>
      </c>
      <c r="Q71">
        <f>BINOMDIST($A71,90,'estadísticos descriptivos'!E$6/90,0)*'estadísticos descriptivos'!E$2</f>
        <v>8.0866486831477079E-127</v>
      </c>
      <c r="R71" s="3">
        <f t="shared" si="21"/>
        <v>4.8023471642196052E-82</v>
      </c>
      <c r="S71">
        <f t="shared" si="22"/>
        <v>2.7191435961632123E-118</v>
      </c>
      <c r="T71">
        <f t="shared" si="23"/>
        <v>1.7332305060586931E-85</v>
      </c>
      <c r="U71">
        <f t="shared" si="24"/>
        <v>8.0866486831477079E-127</v>
      </c>
      <c r="V71" s="3">
        <f t="shared" si="30"/>
        <v>-2.3387862930236831E-81</v>
      </c>
      <c r="W71">
        <f t="shared" si="31"/>
        <v>2.9644815962753537E-31</v>
      </c>
      <c r="X71">
        <f t="shared" si="32"/>
        <v>8.4199536780957931E-26</v>
      </c>
      <c r="Y71" s="4" t="e">
        <f t="shared" si="33"/>
        <v>#DIV/0!</v>
      </c>
      <c r="Z71">
        <f t="shared" si="25"/>
        <v>-2.3387862930236831E-81</v>
      </c>
      <c r="AA71">
        <f t="shared" si="26"/>
        <v>2.9644815962753537E-31</v>
      </c>
      <c r="AB71">
        <f t="shared" si="27"/>
        <v>8.4199536780957931E-26</v>
      </c>
      <c r="AC71" s="4" t="e">
        <f t="shared" si="28"/>
        <v>#DIV/0!</v>
      </c>
    </row>
    <row r="72" spans="1:29">
      <c r="A72">
        <f t="shared" si="29"/>
        <v>68</v>
      </c>
      <c r="B72" s="3">
        <f>+COUNTIF(desglose!F:F,'pruebas de bondad de ajuste'!$A72)</f>
        <v>0</v>
      </c>
      <c r="C72">
        <f>+COUNTIF(desglose!G:G,'pruebas de bondad de ajuste'!$A72)</f>
        <v>0</v>
      </c>
      <c r="D72">
        <f>+COUNTIF(desglose!Q:Q,'pruebas de bondad de ajuste'!$A72)/'estadísticos descriptivos'!D$2</f>
        <v>0</v>
      </c>
      <c r="E72" s="4">
        <f>+COUNTIF(desglose!R:R,'pruebas de bondad de ajuste'!$A72)/'estadísticos descriptivos'!E$2</f>
        <v>0</v>
      </c>
      <c r="F72" s="3">
        <f>+_xlfn.POISSON.DIST($A72,'estadísticos descriptivos'!B$6,0)*'estadísticos descriptivos'!B$2</f>
        <v>4.0796481832210091E-69</v>
      </c>
      <c r="G72">
        <f>+_xlfn.POISSON.DIST($A72,'estadísticos descriptivos'!C$6,0)*'estadísticos descriptivos'!C$2</f>
        <v>2.5329232319069058E-105</v>
      </c>
      <c r="H72">
        <f>+_xlfn.POISSON.DIST($A72,'estadísticos descriptivos'!D$6,0)*'estadísticos descriptivos'!D$2</f>
        <v>1.6074958537657856E-72</v>
      </c>
      <c r="I72">
        <f>+_xlfn.POISSON.DIST($A72,'estadísticos descriptivos'!E$6,0)*'estadísticos descriptivos'!E$2</f>
        <v>6.4663515531086281E-114</v>
      </c>
      <c r="J72">
        <f t="shared" si="17"/>
        <v>4.0796481832210091E-69</v>
      </c>
      <c r="K72">
        <f t="shared" si="18"/>
        <v>2.5329232319069058E-105</v>
      </c>
      <c r="L72">
        <f t="shared" si="19"/>
        <v>1.6074958537657856E-72</v>
      </c>
      <c r="M72" s="4">
        <f t="shared" si="20"/>
        <v>6.4663515531086281E-114</v>
      </c>
      <c r="N72">
        <f>BINOMDIST($A72,90,'estadísticos descriptivos'!B$6/90,0)*'estadísticos descriptivos'!B$2</f>
        <v>4.7277601408785934E-84</v>
      </c>
      <c r="O72">
        <f>BINOMDIST($A72,90,'estadísticos descriptivos'!C$6/90,0)*'estadísticos descriptivos'!C$2</f>
        <v>7.4925485457955213E-121</v>
      </c>
      <c r="P72">
        <f>BINOMDIST($A72,90,'estadísticos descriptivos'!D$6/90,0)*'estadísticos descriptivos'!D$2</f>
        <v>1.5187557771772118E-87</v>
      </c>
      <c r="Q72">
        <f>BINOMDIST($A72,90,'estadísticos descriptivos'!E$6/90,0)*'estadísticos descriptivos'!E$2</f>
        <v>1.6677987779088346E-129</v>
      </c>
      <c r="R72" s="3">
        <f t="shared" si="21"/>
        <v>4.7277601408785934E-84</v>
      </c>
      <c r="S72">
        <f t="shared" si="22"/>
        <v>7.4925485457955213E-121</v>
      </c>
      <c r="T72">
        <f t="shared" si="23"/>
        <v>1.5187557771772118E-87</v>
      </c>
      <c r="U72">
        <f t="shared" si="24"/>
        <v>1.6677987779088346E-129</v>
      </c>
      <c r="V72" s="3">
        <f t="shared" si="30"/>
        <v>1.9873120952127223E-82</v>
      </c>
      <c r="W72">
        <f t="shared" si="31"/>
        <v>9.7438754360621153E-32</v>
      </c>
      <c r="X72">
        <f t="shared" si="32"/>
        <v>3.1502372828924839E-26</v>
      </c>
      <c r="Y72" s="4" t="e">
        <f t="shared" si="33"/>
        <v>#DIV/0!</v>
      </c>
      <c r="Z72">
        <f t="shared" si="25"/>
        <v>1.9873120952127223E-82</v>
      </c>
      <c r="AA72">
        <f t="shared" si="26"/>
        <v>9.7438754360621153E-32</v>
      </c>
      <c r="AB72">
        <f t="shared" si="27"/>
        <v>3.1502372828924839E-26</v>
      </c>
      <c r="AC72" s="4" t="e">
        <f t="shared" si="28"/>
        <v>#DIV/0!</v>
      </c>
    </row>
    <row r="73" spans="1:29">
      <c r="A73">
        <f t="shared" si="29"/>
        <v>69</v>
      </c>
      <c r="B73" s="3">
        <f>+COUNTIF(desglose!F:F,'pruebas de bondad de ajuste'!$A73)</f>
        <v>0</v>
      </c>
      <c r="C73">
        <f>+COUNTIF(desglose!G:G,'pruebas de bondad de ajuste'!$A73)</f>
        <v>0</v>
      </c>
      <c r="D73">
        <f>+COUNTIF(desglose!Q:Q,'pruebas de bondad de ajuste'!$A73)/'estadísticos descriptivos'!D$2</f>
        <v>0</v>
      </c>
      <c r="E73" s="4">
        <f>+COUNTIF(desglose!R:R,'pruebas de bondad de ajuste'!$A73)/'estadísticos descriptivos'!E$2</f>
        <v>0</v>
      </c>
      <c r="F73" s="3">
        <f>+_xlfn.POISSON.DIST($A73,'estadísticos descriptivos'!B$6,0)*'estadísticos descriptivos'!B$2</f>
        <v>1.5050085524399168E-70</v>
      </c>
      <c r="G73">
        <f>+_xlfn.POISSON.DIST($A73,'estadísticos descriptivos'!C$6,0)*'estadísticos descriptivos'!C$2</f>
        <v>2.669747807016489E-107</v>
      </c>
      <c r="H73">
        <f>+_xlfn.POISSON.DIST($A73,'estadísticos descriptivos'!D$6,0)*'estadísticos descriptivos'!D$2</f>
        <v>5.2947821270286079E-74</v>
      </c>
      <c r="I73">
        <f>+_xlfn.POISSON.DIST($A73,'estadísticos descriptivos'!E$6,0)*'estadísticos descriptivos'!E$2</f>
        <v>5.111740358188638E-116</v>
      </c>
      <c r="J73">
        <f t="shared" si="17"/>
        <v>1.5050085524399168E-70</v>
      </c>
      <c r="K73">
        <f t="shared" si="18"/>
        <v>2.669747807016489E-107</v>
      </c>
      <c r="L73">
        <f t="shared" si="19"/>
        <v>5.2947821270286079E-74</v>
      </c>
      <c r="M73" s="4">
        <f t="shared" si="20"/>
        <v>5.111740358188638E-116</v>
      </c>
      <c r="N73">
        <f>BINOMDIST($A73,90,'estadísticos descriptivos'!B$6/90,0)*'estadísticos descriptivos'!B$2</f>
        <v>4.3874480200990299E-86</v>
      </c>
      <c r="O73">
        <f>BINOMDIST($A73,90,'estadísticos descriptivos'!C$6/90,0)*'estadísticos descriptivos'!C$2</f>
        <v>1.9461739485521883E-123</v>
      </c>
      <c r="P73">
        <f>BINOMDIST($A73,90,'estadísticos descriptivos'!D$6/90,0)*'estadísticos descriptivos'!D$2</f>
        <v>1.2545102912780694E-89</v>
      </c>
      <c r="Q73">
        <f>BINOMDIST($A73,90,'estadísticos descriptivos'!E$6/90,0)*'estadísticos descriptivos'!E$2</f>
        <v>3.2424507877336787E-132</v>
      </c>
      <c r="R73" s="3">
        <f t="shared" si="21"/>
        <v>4.3874480200990299E-86</v>
      </c>
      <c r="S73">
        <f t="shared" si="22"/>
        <v>1.9461739485521883E-123</v>
      </c>
      <c r="T73">
        <f t="shared" si="23"/>
        <v>1.2545102912780694E-89</v>
      </c>
      <c r="U73">
        <f t="shared" si="24"/>
        <v>3.2424507877336787E-132</v>
      </c>
      <c r="V73" s="3">
        <f t="shared" si="30"/>
        <v>-1.701004971416822E-83</v>
      </c>
      <c r="W73">
        <f t="shared" si="31"/>
        <v>3.2023582960816041E-32</v>
      </c>
      <c r="X73">
        <f t="shared" si="32"/>
        <v>1.1779104610049447E-26</v>
      </c>
      <c r="Y73" s="4" t="e">
        <f t="shared" si="33"/>
        <v>#DIV/0!</v>
      </c>
      <c r="Z73">
        <f t="shared" si="25"/>
        <v>-1.701004971416822E-83</v>
      </c>
      <c r="AA73">
        <f t="shared" si="26"/>
        <v>3.2023582960816041E-32</v>
      </c>
      <c r="AB73">
        <f t="shared" si="27"/>
        <v>1.1779104610049447E-26</v>
      </c>
      <c r="AC73" s="4" t="e">
        <f t="shared" si="28"/>
        <v>#DIV/0!</v>
      </c>
    </row>
    <row r="74" spans="1:29">
      <c r="A74">
        <f t="shared" si="29"/>
        <v>70</v>
      </c>
      <c r="B74" s="3">
        <f>+COUNTIF(desglose!F:F,'pruebas de bondad de ajuste'!$A74)</f>
        <v>0</v>
      </c>
      <c r="C74">
        <f>+COUNTIF(desglose!G:G,'pruebas de bondad de ajuste'!$A74)</f>
        <v>0</v>
      </c>
      <c r="D74">
        <f>+COUNTIF(desglose!Q:Q,'pruebas de bondad de ajuste'!$A74)/'estadísticos descriptivos'!D$2</f>
        <v>0</v>
      </c>
      <c r="E74" s="4">
        <f>+COUNTIF(desglose!R:R,'pruebas de bondad de ajuste'!$A74)/'estadísticos descriptivos'!E$2</f>
        <v>0</v>
      </c>
      <c r="F74" s="3">
        <f>+_xlfn.POISSON.DIST($A74,'estadísticos descriptivos'!B$6,0)*'estadísticos descriptivos'!B$2</f>
        <v>5.4727583725087967E-72</v>
      </c>
      <c r="G74">
        <f>+_xlfn.POISSON.DIST($A74,'estadísticos descriptivos'!C$6,0)*'estadísticos descriptivos'!C$2</f>
        <v>2.7737639553419657E-109</v>
      </c>
      <c r="H74">
        <f>+_xlfn.POISSON.DIST($A74,'estadísticos descriptivos'!D$6,0)*'estadísticos descriptivos'!D$2</f>
        <v>1.71908510617811E-75</v>
      </c>
      <c r="I74">
        <f>+_xlfn.POISSON.DIST($A74,'estadísticos descriptivos'!E$6,0)*'estadísticos descriptivos'!E$2</f>
        <v>3.983174305082275E-118</v>
      </c>
      <c r="J74">
        <f t="shared" si="17"/>
        <v>5.4727583725087967E-72</v>
      </c>
      <c r="K74">
        <f t="shared" si="18"/>
        <v>2.7737639553419657E-109</v>
      </c>
      <c r="L74">
        <f t="shared" si="19"/>
        <v>1.7190851061781103E-75</v>
      </c>
      <c r="M74" s="4">
        <f t="shared" si="20"/>
        <v>3.983174305082275E-118</v>
      </c>
      <c r="N74">
        <f>BINOMDIST($A74,90,'estadísticos descriptivos'!B$6/90,0)*'estadísticos descriptivos'!B$2</f>
        <v>3.8310356932256025E-88</v>
      </c>
      <c r="O74">
        <f>BINOMDIST($A74,90,'estadísticos descriptivos'!C$6/90,0)*'estadísticos descriptivos'!C$2</f>
        <v>4.7564332754838987E-126</v>
      </c>
      <c r="P74">
        <f>BINOMDIST($A74,90,'estadísticos descriptivos'!D$6/90,0)*'estadísticos descriptivos'!D$2</f>
        <v>9.7500799840263278E-92</v>
      </c>
      <c r="Q74">
        <f>BINOMDIST($A74,90,'estadísticos descriptivos'!E$6/90,0)*'estadísticos descriptivos'!E$2</f>
        <v>5.9313124165859961E-135</v>
      </c>
      <c r="R74" s="3">
        <f t="shared" si="21"/>
        <v>3.8310356932256025E-88</v>
      </c>
      <c r="S74">
        <f t="shared" si="22"/>
        <v>4.7564332754838987E-126</v>
      </c>
      <c r="T74">
        <f t="shared" si="23"/>
        <v>9.7500799840263278E-92</v>
      </c>
      <c r="U74">
        <f t="shared" si="24"/>
        <v>5.9313124165859961E-135</v>
      </c>
      <c r="V74" s="3">
        <f t="shared" si="30"/>
        <v>1.4662161752866711E-84</v>
      </c>
      <c r="W74">
        <f t="shared" si="31"/>
        <v>1.0523606708681404E-32</v>
      </c>
      <c r="X74">
        <f t="shared" si="32"/>
        <v>4.4017364407742479E-27</v>
      </c>
      <c r="Y74" s="4" t="e">
        <f t="shared" si="33"/>
        <v>#DIV/0!</v>
      </c>
      <c r="Z74">
        <f t="shared" si="25"/>
        <v>1.4662161752866711E-84</v>
      </c>
      <c r="AA74">
        <f t="shared" si="26"/>
        <v>1.0523606708681404E-32</v>
      </c>
      <c r="AB74">
        <f t="shared" si="27"/>
        <v>4.4017364407742479E-27</v>
      </c>
      <c r="AC74" s="4" t="e">
        <f t="shared" si="28"/>
        <v>#DIV/0!</v>
      </c>
    </row>
    <row r="75" spans="1:29">
      <c r="A75">
        <f t="shared" si="29"/>
        <v>71</v>
      </c>
      <c r="B75" s="3">
        <f>+COUNTIF(desglose!F:F,'pruebas de bondad de ajuste'!$A75)</f>
        <v>0</v>
      </c>
      <c r="C75">
        <f>+COUNTIF(desglose!G:G,'pruebas de bondad de ajuste'!$A75)</f>
        <v>0</v>
      </c>
      <c r="D75">
        <f>+COUNTIF(desglose!Q:Q,'pruebas de bondad de ajuste'!$A75)/'estadísticos descriptivos'!D$2</f>
        <v>0</v>
      </c>
      <c r="E75" s="4">
        <f>+COUNTIF(desglose!R:R,'pruebas de bondad de ajuste'!$A75)/'estadísticos descriptivos'!E$2</f>
        <v>0</v>
      </c>
      <c r="F75" s="3">
        <f>+_xlfn.POISSON.DIST($A75,'estadísticos descriptivos'!B$6,0)*'estadísticos descriptivos'!B$2</f>
        <v>1.9620644613348514E-73</v>
      </c>
      <c r="G75">
        <f>+_xlfn.POISSON.DIST($A75,'estadísticos descriptivos'!C$6,0)*'estadísticos descriptivos'!C$2</f>
        <v>2.8412434881863354E-111</v>
      </c>
      <c r="H75">
        <f>+_xlfn.POISSON.DIST($A75,'estadísticos descriptivos'!D$6,0)*'estadísticos descriptivos'!D$2</f>
        <v>5.5028332464086508E-77</v>
      </c>
      <c r="I75">
        <f>+_xlfn.POISSON.DIST($A75,'estadísticos descriptivos'!E$6,0)*'estadísticos descriptivos'!E$2</f>
        <v>3.0600570845701801E-120</v>
      </c>
      <c r="J75">
        <f t="shared" si="17"/>
        <v>1.9620644613348514E-73</v>
      </c>
      <c r="K75">
        <f t="shared" si="18"/>
        <v>2.8412434881863354E-111</v>
      </c>
      <c r="L75">
        <f t="shared" si="19"/>
        <v>5.5028332464086508E-77</v>
      </c>
      <c r="M75" s="4">
        <f t="shared" si="20"/>
        <v>3.0600570845701801E-120</v>
      </c>
      <c r="N75">
        <f>BINOMDIST($A75,90,'estadísticos descriptivos'!B$6/90,0)*'estadísticos descriptivos'!B$2</f>
        <v>3.1410207434722941E-90</v>
      </c>
      <c r="O75">
        <f>BINOMDIST($A75,90,'estadísticos descriptivos'!C$6/90,0)*'estadísticos descriptivos'!C$2</f>
        <v>1.0915196409704219E-128</v>
      </c>
      <c r="P75">
        <f>BINOMDIST($A75,90,'estadísticos descriptivos'!D$6/90,0)*'estadísticos descriptivos'!D$2</f>
        <v>7.1152886112719877E-94</v>
      </c>
      <c r="Q75">
        <f>BINOMDIST($A75,90,'estadísticos descriptivos'!E$6/90,0)*'estadísticos descriptivos'!E$2</f>
        <v>1.0187757500148073E-137</v>
      </c>
      <c r="R75" s="3">
        <f t="shared" si="21"/>
        <v>3.1410207434722941E-90</v>
      </c>
      <c r="S75">
        <f t="shared" si="22"/>
        <v>1.091519640970422E-128</v>
      </c>
      <c r="T75">
        <f t="shared" si="23"/>
        <v>7.1152886112719877E-94</v>
      </c>
      <c r="U75">
        <f t="shared" si="24"/>
        <v>1.0187757500148073E-137</v>
      </c>
      <c r="V75" s="3">
        <f t="shared" si="30"/>
        <v>-1.272442331852764E-85</v>
      </c>
      <c r="W75">
        <f t="shared" si="31"/>
        <v>3.4579363192282075E-33</v>
      </c>
      <c r="X75">
        <f t="shared" si="32"/>
        <v>1.6439383840496274E-27</v>
      </c>
      <c r="Y75" s="4" t="e">
        <f t="shared" si="33"/>
        <v>#DIV/0!</v>
      </c>
      <c r="Z75">
        <f t="shared" si="25"/>
        <v>-1.272442331852764E-85</v>
      </c>
      <c r="AA75">
        <f t="shared" si="26"/>
        <v>3.4579363192282075E-33</v>
      </c>
      <c r="AB75">
        <f t="shared" si="27"/>
        <v>1.6439383840496274E-27</v>
      </c>
      <c r="AC75" s="4" t="e">
        <f t="shared" si="28"/>
        <v>#DIV/0!</v>
      </c>
    </row>
    <row r="76" spans="1:29">
      <c r="A76">
        <f t="shared" si="29"/>
        <v>72</v>
      </c>
      <c r="B76" s="3">
        <f>+COUNTIF(desglose!F:F,'pruebas de bondad de ajuste'!$A76)</f>
        <v>0</v>
      </c>
      <c r="C76">
        <f>+COUNTIF(desglose!G:G,'pruebas de bondad de ajuste'!$A76)</f>
        <v>0</v>
      </c>
      <c r="D76">
        <f>+COUNTIF(desglose!Q:Q,'pruebas de bondad de ajuste'!$A76)/'estadísticos descriptivos'!D$2</f>
        <v>0</v>
      </c>
      <c r="E76" s="4">
        <f>+COUNTIF(desglose!R:R,'pruebas de bondad de ajuste'!$A76)/'estadísticos descriptivos'!E$2</f>
        <v>0</v>
      </c>
      <c r="F76" s="3">
        <f>+_xlfn.POISSON.DIST($A76,'estadísticos descriptivos'!B$6,0)*'estadísticos descriptivos'!B$2</f>
        <v>6.9365915299716487E-75</v>
      </c>
      <c r="G76">
        <f>+_xlfn.POISSON.DIST($A76,'estadísticos descriptivos'!C$6,0)*'estadísticos descriptivos'!C$2</f>
        <v>2.8699429173598512E-113</v>
      </c>
      <c r="H76">
        <f>+_xlfn.POISSON.DIST($A76,'estadísticos descriptivos'!D$6,0)*'estadísticos descriptivos'!D$2</f>
        <v>1.7370054439421002E-78</v>
      </c>
      <c r="I76">
        <f>+_xlfn.POISSON.DIST($A76,'estadísticos descriptivos'!E$6,0)*'estadísticos descriptivos'!E$2</f>
        <v>2.318225064068261E-122</v>
      </c>
      <c r="J76">
        <f t="shared" si="17"/>
        <v>6.9365915299716487E-75</v>
      </c>
      <c r="K76">
        <f t="shared" si="18"/>
        <v>2.8699429173598512E-113</v>
      </c>
      <c r="L76">
        <f t="shared" si="19"/>
        <v>1.7370054439421002E-78</v>
      </c>
      <c r="M76" s="4">
        <f t="shared" si="20"/>
        <v>2.318225064068261E-122</v>
      </c>
      <c r="N76">
        <f>BINOMDIST($A76,90,'estadísticos descriptivos'!B$6/90,0)*'estadísticos descriptivos'!B$2</f>
        <v>2.4125419200844257E-92</v>
      </c>
      <c r="O76">
        <f>BINOMDIST($A76,90,'estadísticos descriptivos'!C$6/90,0)*'estadísticos descriptivos'!C$2</f>
        <v>2.3465572729622063E-131</v>
      </c>
      <c r="P76">
        <f>BINOMDIST($A76,90,'estadísticos descriptivos'!D$6/90,0)*'estadísticos descriptivos'!D$2</f>
        <v>4.8643668542807011E-96</v>
      </c>
      <c r="Q76">
        <f>BINOMDIST($A76,90,'estadísticos descriptivos'!E$6/90,0)*'estadísticos descriptivos'!E$2</f>
        <v>1.6392902481607668E-140</v>
      </c>
      <c r="R76" s="3">
        <f t="shared" si="21"/>
        <v>2.4125419200844257E-92</v>
      </c>
      <c r="S76">
        <f t="shared" si="22"/>
        <v>2.3465572729622063E-131</v>
      </c>
      <c r="T76">
        <f t="shared" si="23"/>
        <v>4.8643668542807011E-96</v>
      </c>
      <c r="U76">
        <f t="shared" si="24"/>
        <v>1.6392902481607666E-140</v>
      </c>
      <c r="V76" s="3">
        <f t="shared" si="30"/>
        <v>1.1115424857488366E-86</v>
      </c>
      <c r="W76">
        <f t="shared" si="31"/>
        <v>1.1361305093417551E-33</v>
      </c>
      <c r="X76">
        <f t="shared" si="32"/>
        <v>6.1362564122266378E-28</v>
      </c>
      <c r="Y76" s="4" t="e">
        <f t="shared" si="33"/>
        <v>#DIV/0!</v>
      </c>
      <c r="Z76">
        <f t="shared" si="25"/>
        <v>1.1115424857488366E-86</v>
      </c>
      <c r="AA76">
        <f t="shared" si="26"/>
        <v>1.1361305093417551E-33</v>
      </c>
      <c r="AB76">
        <f t="shared" si="27"/>
        <v>6.1362564122266378E-28</v>
      </c>
      <c r="AC76" s="4" t="e">
        <f t="shared" si="28"/>
        <v>#DIV/0!</v>
      </c>
    </row>
    <row r="77" spans="1:29">
      <c r="A77">
        <f t="shared" si="29"/>
        <v>73</v>
      </c>
      <c r="B77" s="3">
        <f>+COUNTIF(desglose!F:F,'pruebas de bondad de ajuste'!$A77)</f>
        <v>0</v>
      </c>
      <c r="C77">
        <f>+COUNTIF(desglose!G:G,'pruebas de bondad de ajuste'!$A77)</f>
        <v>0</v>
      </c>
      <c r="D77">
        <f>+COUNTIF(desglose!Q:Q,'pruebas de bondad de ajuste'!$A77)/'estadísticos descriptivos'!D$2</f>
        <v>0</v>
      </c>
      <c r="E77" s="4">
        <f>+COUNTIF(desglose!R:R,'pruebas de bondad de ajuste'!$A77)/'estadísticos descriptivos'!E$2</f>
        <v>0</v>
      </c>
      <c r="F77" s="3">
        <f>+_xlfn.POISSON.DIST($A77,'estadísticos descriptivos'!B$6,0)*'estadísticos descriptivos'!B$2</f>
        <v>2.4187367725928681E-76</v>
      </c>
      <c r="G77">
        <f>+_xlfn.POISSON.DIST($A77,'estadísticos descriptivos'!C$6,0)*'estadísticos descriptivos'!C$2</f>
        <v>2.8592208392128194E-115</v>
      </c>
      <c r="H77">
        <f>+_xlfn.POISSON.DIST($A77,'estadísticos descriptivos'!D$6,0)*'estadísticos descriptivos'!D$2</f>
        <v>5.4078625278396591E-80</v>
      </c>
      <c r="I77">
        <f>+_xlfn.POISSON.DIST($A77,'estadísticos descriptivos'!E$6,0)*'estadísticos descriptivos'!E$2</f>
        <v>1.7321731487434136E-124</v>
      </c>
      <c r="J77">
        <f t="shared" si="17"/>
        <v>2.4187367725928681E-76</v>
      </c>
      <c r="K77">
        <f t="shared" si="18"/>
        <v>2.8592208392128194E-115</v>
      </c>
      <c r="L77">
        <f t="shared" si="19"/>
        <v>5.4078625278396591E-80</v>
      </c>
      <c r="M77" s="4">
        <f t="shared" si="20"/>
        <v>1.7321731487434136E-124</v>
      </c>
      <c r="N77">
        <f>BINOMDIST($A77,90,'estadísticos descriptivos'!B$6/90,0)*'estadísticos descriptivos'!B$2</f>
        <v>1.7314401044094654E-94</v>
      </c>
      <c r="O77">
        <f>BINOMDIST($A77,90,'estadísticos descriptivos'!C$6/90,0)*'estadísticos descriptivos'!C$2</f>
        <v>4.7136713905997089E-134</v>
      </c>
      <c r="P77">
        <f>BINOMDIST($A77,90,'estadísticos descriptivos'!D$6/90,0)*'estadísticos descriptivos'!D$2</f>
        <v>3.1073391786873882E-98</v>
      </c>
      <c r="Q77">
        <f>BINOMDIST($A77,90,'estadísticos descriptivos'!E$6/90,0)*'estadísticos descriptivos'!E$2</f>
        <v>2.4646863069570799E-143</v>
      </c>
      <c r="R77" s="3">
        <f t="shared" si="21"/>
        <v>1.7314401044094656E-94</v>
      </c>
      <c r="S77">
        <f t="shared" si="22"/>
        <v>4.7136713905997089E-134</v>
      </c>
      <c r="T77">
        <f t="shared" si="23"/>
        <v>3.1073391786873882E-98</v>
      </c>
      <c r="U77">
        <f t="shared" si="24"/>
        <v>2.4646863069570799E-143</v>
      </c>
      <c r="V77" s="3">
        <f t="shared" si="30"/>
        <v>-9.7716319811481279E-88</v>
      </c>
      <c r="W77">
        <f t="shared" si="31"/>
        <v>3.7324965200862907E-34</v>
      </c>
      <c r="X77">
        <f t="shared" si="32"/>
        <v>2.2892033632440024E-28</v>
      </c>
      <c r="Y77" s="4" t="e">
        <f t="shared" si="33"/>
        <v>#DIV/0!</v>
      </c>
      <c r="Z77">
        <f t="shared" si="25"/>
        <v>-9.7716319811481279E-88</v>
      </c>
      <c r="AA77">
        <f t="shared" si="26"/>
        <v>3.7324965200862907E-34</v>
      </c>
      <c r="AB77">
        <f t="shared" si="27"/>
        <v>2.2892033632440024E-28</v>
      </c>
      <c r="AC77" s="4" t="e">
        <f t="shared" si="28"/>
        <v>#DIV/0!</v>
      </c>
    </row>
    <row r="78" spans="1:29">
      <c r="A78">
        <f t="shared" si="29"/>
        <v>74</v>
      </c>
      <c r="B78" s="3">
        <f>+COUNTIF(desglose!F:F,'pruebas de bondad de ajuste'!$A78)</f>
        <v>0</v>
      </c>
      <c r="C78">
        <f>+COUNTIF(desglose!G:G,'pruebas de bondad de ajuste'!$A78)</f>
        <v>0</v>
      </c>
      <c r="D78">
        <f>+COUNTIF(desglose!Q:Q,'pruebas de bondad de ajuste'!$A78)/'estadísticos descriptivos'!D$2</f>
        <v>0</v>
      </c>
      <c r="E78" s="4">
        <f>+COUNTIF(desglose!R:R,'pruebas de bondad de ajuste'!$A78)/'estadísticos descriptivos'!E$2</f>
        <v>0</v>
      </c>
      <c r="F78" s="3">
        <f>+_xlfn.POISSON.DIST($A78,'estadísticos descriptivos'!B$6,0)*'estadísticos descriptivos'!B$2</f>
        <v>8.3199790703439424E-78</v>
      </c>
      <c r="G78">
        <f>+_xlfn.POISSON.DIST($A78,'estadísticos descriptivos'!C$6,0)*'estadísticos descriptivos'!C$2</f>
        <v>2.8100450508235608E-117</v>
      </c>
      <c r="H78">
        <f>+_xlfn.POISSON.DIST($A78,'estadísticos descriptivos'!D$6,0)*'estadísticos descriptivos'!D$2</f>
        <v>1.6608914397542616E-81</v>
      </c>
      <c r="I78">
        <f>+_xlfn.POISSON.DIST($A78,'estadísticos descriptivos'!E$6,0)*'estadísticos descriptivos'!E$2</f>
        <v>1.2767861047249403E-126</v>
      </c>
      <c r="J78">
        <f t="shared" si="17"/>
        <v>8.3199790703439424E-78</v>
      </c>
      <c r="K78">
        <f t="shared" si="18"/>
        <v>2.8100450508235608E-117</v>
      </c>
      <c r="L78">
        <f t="shared" si="19"/>
        <v>1.6608914397542616E-81</v>
      </c>
      <c r="M78" s="4">
        <f t="shared" si="20"/>
        <v>1.2767861047249403E-126</v>
      </c>
      <c r="N78">
        <f>BINOMDIST($A78,90,'estadísticos descriptivos'!B$6/90,0)*'estadísticos descriptivos'!B$2</f>
        <v>1.1577309233281984E-96</v>
      </c>
      <c r="O78">
        <f>BINOMDIST($A78,90,'estadísticos descriptivos'!C$6/90,0)*'estadísticos descriptivos'!C$2</f>
        <v>8.8217552309351217E-137</v>
      </c>
      <c r="P78">
        <f>BINOMDIST($A78,90,'estadísticos descriptivos'!D$6/90,0)*'estadísticos descriptivos'!D$2</f>
        <v>1.8493476417059376E-100</v>
      </c>
      <c r="Q78">
        <f>BINOMDIST($A78,90,'estadísticos descriptivos'!E$6/90,0)*'estadísticos descriptivos'!E$2</f>
        <v>3.4525104827186135E-146</v>
      </c>
      <c r="R78" s="3">
        <f t="shared" si="21"/>
        <v>1.1577309233281984E-96</v>
      </c>
      <c r="S78">
        <f t="shared" si="22"/>
        <v>8.8217552309351217E-137</v>
      </c>
      <c r="T78">
        <f t="shared" si="23"/>
        <v>1.8493476417059376E-100</v>
      </c>
      <c r="U78">
        <f t="shared" si="24"/>
        <v>3.4525104827186135E-146</v>
      </c>
      <c r="V78" s="3">
        <f t="shared" si="30"/>
        <v>8.6431319286729541E-89</v>
      </c>
      <c r="W78">
        <f t="shared" si="31"/>
        <v>1.2261161774308343E-34</v>
      </c>
      <c r="X78">
        <f t="shared" si="32"/>
        <v>8.5356060559086977E-29</v>
      </c>
      <c r="Y78" s="4" t="e">
        <f t="shared" si="33"/>
        <v>#DIV/0!</v>
      </c>
      <c r="Z78">
        <f t="shared" si="25"/>
        <v>8.6431319286729541E-89</v>
      </c>
      <c r="AA78">
        <f t="shared" si="26"/>
        <v>1.2261161774308343E-34</v>
      </c>
      <c r="AB78">
        <f t="shared" si="27"/>
        <v>8.5356060559086977E-29</v>
      </c>
      <c r="AC78" s="4" t="e">
        <f t="shared" si="28"/>
        <v>#DIV/0!</v>
      </c>
    </row>
    <row r="79" spans="1:29">
      <c r="A79">
        <f t="shared" si="29"/>
        <v>75</v>
      </c>
      <c r="B79" s="3">
        <f>+COUNTIF(desglose!F:F,'pruebas de bondad de ajuste'!$A79)</f>
        <v>0</v>
      </c>
      <c r="C79">
        <f>+COUNTIF(desglose!G:G,'pruebas de bondad de ajuste'!$A79)</f>
        <v>0</v>
      </c>
      <c r="D79">
        <f>+COUNTIF(desglose!Q:Q,'pruebas de bondad de ajuste'!$A79)/'estadísticos descriptivos'!D$2</f>
        <v>0</v>
      </c>
      <c r="E79" s="4">
        <f>+COUNTIF(desglose!R:R,'pruebas de bondad de ajuste'!$A79)/'estadísticos descriptivos'!E$2</f>
        <v>0</v>
      </c>
      <c r="F79" s="3">
        <f>+_xlfn.POISSON.DIST($A79,'estadísticos descriptivos'!B$6,0)*'estadísticos descriptivos'!B$2</f>
        <v>2.8237504723591182E-79</v>
      </c>
      <c r="G79">
        <f>+_xlfn.POISSON.DIST($A79,'estadísticos descriptivos'!C$6,0)*'estadísticos descriptivos'!C$2</f>
        <v>2.7248921704954882E-119</v>
      </c>
      <c r="H79">
        <f>+_xlfn.POISSON.DIST($A79,'estadísticos descriptivos'!D$6,0)*'estadísticos descriptivos'!D$2</f>
        <v>5.0330043628918847E-83</v>
      </c>
      <c r="I79">
        <f>+_xlfn.POISSON.DIST($A79,'estadísticos descriptivos'!E$6,0)*'estadísticos descriptivos'!E$2</f>
        <v>9.2857171252720433E-129</v>
      </c>
      <c r="J79">
        <f t="shared" si="17"/>
        <v>2.8237504723591182E-79</v>
      </c>
      <c r="K79">
        <f t="shared" si="18"/>
        <v>2.7248921704954882E-119</v>
      </c>
      <c r="L79">
        <f t="shared" si="19"/>
        <v>5.0330043628918847E-83</v>
      </c>
      <c r="M79" s="4">
        <f t="shared" si="20"/>
        <v>9.2857171252720433E-129</v>
      </c>
      <c r="N79">
        <f>BINOMDIST($A79,90,'estadísticos descriptivos'!B$6/90,0)*'estadísticos descriptivos'!B$2</f>
        <v>7.1886826562856443E-99</v>
      </c>
      <c r="O79">
        <f>BINOMDIST($A79,90,'estadísticos descriptivos'!C$6/90,0)*'estadísticos descriptivos'!C$2</f>
        <v>1.533176740746205E-139</v>
      </c>
      <c r="P79">
        <f>BINOMDIST($A79,90,'estadísticos descriptivos'!D$6/90,0)*'estadísticos descriptivos'!D$2</f>
        <v>1.0220919608737318E-102</v>
      </c>
      <c r="Q79">
        <f>BINOMDIST($A79,90,'estadísticos descriptivos'!E$6/90,0)*'estadísticos descriptivos'!E$2</f>
        <v>4.4910705466256949E-149</v>
      </c>
      <c r="R79" s="3">
        <f t="shared" si="21"/>
        <v>7.1886826562856443E-99</v>
      </c>
      <c r="S79">
        <f t="shared" si="22"/>
        <v>1.533176740746205E-139</v>
      </c>
      <c r="T79">
        <f t="shared" si="23"/>
        <v>1.0220919608737318E-102</v>
      </c>
      <c r="U79">
        <f t="shared" si="24"/>
        <v>4.4910705466256949E-149</v>
      </c>
      <c r="V79" s="3">
        <f t="shared" si="30"/>
        <v>-7.6904634334554831E-90</v>
      </c>
      <c r="W79">
        <f t="shared" si="31"/>
        <v>4.0274103148625245E-35</v>
      </c>
      <c r="X79">
        <f t="shared" si="32"/>
        <v>3.1809688751715757E-29</v>
      </c>
      <c r="Y79" s="4" t="e">
        <f t="shared" si="33"/>
        <v>#DIV/0!</v>
      </c>
      <c r="Z79">
        <f t="shared" si="25"/>
        <v>-7.6904634334554831E-90</v>
      </c>
      <c r="AA79">
        <f t="shared" si="26"/>
        <v>4.0274103148625245E-35</v>
      </c>
      <c r="AB79">
        <f t="shared" si="27"/>
        <v>3.1809688751715757E-29</v>
      </c>
      <c r="AC79" s="4" t="e">
        <f t="shared" si="28"/>
        <v>#DIV/0!</v>
      </c>
    </row>
    <row r="80" spans="1:29">
      <c r="A80">
        <f t="shared" si="29"/>
        <v>76</v>
      </c>
      <c r="B80" s="3">
        <f>+COUNTIF(desglose!F:F,'pruebas de bondad de ajuste'!$A80)</f>
        <v>0</v>
      </c>
      <c r="C80">
        <f>+COUNTIF(desglose!G:G,'pruebas de bondad de ajuste'!$A80)</f>
        <v>0</v>
      </c>
      <c r="D80">
        <f>+COUNTIF(desglose!Q:Q,'pruebas de bondad de ajuste'!$A80)/'estadísticos descriptivos'!D$2</f>
        <v>0</v>
      </c>
      <c r="E80" s="4">
        <f>+COUNTIF(desglose!R:R,'pruebas de bondad de ajuste'!$A80)/'estadísticos descriptivos'!E$2</f>
        <v>0</v>
      </c>
      <c r="F80" s="3">
        <f>+_xlfn.POISSON.DIST($A80,'estadísticos descriptivos'!B$6,0)*'estadísticos descriptivos'!B$2</f>
        <v>9.4575374672310529E-81</v>
      </c>
      <c r="G80">
        <f>+_xlfn.POISSON.DIST($A80,'estadísticos descriptivos'!C$6,0)*'estadísticos descriptivos'!C$2</f>
        <v>2.6075523162635928E-121</v>
      </c>
      <c r="H80">
        <f>+_xlfn.POISSON.DIST($A80,'estadísticos descriptivos'!D$6,0)*'estadísticos descriptivos'!D$2</f>
        <v>1.5050850367498845E-84</v>
      </c>
      <c r="I80">
        <f>+_xlfn.POISSON.DIST($A80,'estadísticos descriptivos'!E$6,0)*'estadísticos descriptivos'!E$2</f>
        <v>6.6643902812956264E-131</v>
      </c>
      <c r="J80">
        <f t="shared" si="17"/>
        <v>9.4575374672310529E-81</v>
      </c>
      <c r="K80">
        <f t="shared" si="18"/>
        <v>2.6075523162635928E-121</v>
      </c>
      <c r="L80">
        <f t="shared" si="19"/>
        <v>1.5050850367498845E-84</v>
      </c>
      <c r="M80" s="4">
        <f t="shared" si="20"/>
        <v>6.6643902812956264E-131</v>
      </c>
      <c r="N80">
        <f>BINOMDIST($A80,90,'estadísticos descriptivos'!B$6/90,0)*'estadísticos descriptivos'!B$2</f>
        <v>4.1296185518655647E-101</v>
      </c>
      <c r="O80">
        <f>BINOMDIST($A80,90,'estadísticos descriptivos'!C$6/90,0)*'estadísticos descriptivos'!C$2</f>
        <v>2.4651785948326278E-142</v>
      </c>
      <c r="P80">
        <f>BINOMDIST($A80,90,'estadísticos descriptivos'!D$6/90,0)*'estadísticos descriptivos'!D$2</f>
        <v>5.2261315152391152E-105</v>
      </c>
      <c r="Q80">
        <f>BINOMDIST($A80,90,'estadísticos descriptivos'!E$6/90,0)*'estadísticos descriptivos'!E$2</f>
        <v>5.4048506257531943E-152</v>
      </c>
      <c r="R80" s="3">
        <f t="shared" si="21"/>
        <v>4.1296185518655647E-101</v>
      </c>
      <c r="S80">
        <f t="shared" si="22"/>
        <v>2.4651785948326278E-142</v>
      </c>
      <c r="T80">
        <f t="shared" si="23"/>
        <v>5.2261315152391152E-105</v>
      </c>
      <c r="U80">
        <f t="shared" si="24"/>
        <v>5.4048506257531943E-152</v>
      </c>
      <c r="V80" s="3">
        <f t="shared" si="30"/>
        <v>6.8822373717742022E-91</v>
      </c>
      <c r="W80">
        <f t="shared" si="31"/>
        <v>1.3227664177118846E-35</v>
      </c>
      <c r="X80">
        <f t="shared" si="32"/>
        <v>1.1848551922391901E-29</v>
      </c>
      <c r="Y80" s="4" t="e">
        <f t="shared" si="33"/>
        <v>#DIV/0!</v>
      </c>
      <c r="Z80">
        <f t="shared" si="25"/>
        <v>6.8822373717742022E-91</v>
      </c>
      <c r="AA80">
        <f t="shared" si="26"/>
        <v>1.3227664177118846E-35</v>
      </c>
      <c r="AB80">
        <f t="shared" si="27"/>
        <v>1.1848551922391901E-29</v>
      </c>
      <c r="AC80" s="4" t="e">
        <f t="shared" si="28"/>
        <v>#DIV/0!</v>
      </c>
    </row>
    <row r="81" spans="1:29">
      <c r="A81">
        <f t="shared" si="29"/>
        <v>77</v>
      </c>
      <c r="B81" s="3">
        <f>+COUNTIF(desglose!F:F,'pruebas de bondad de ajuste'!$A81)</f>
        <v>0</v>
      </c>
      <c r="C81">
        <f>+COUNTIF(desglose!G:G,'pruebas de bondad de ajuste'!$A81)</f>
        <v>0</v>
      </c>
      <c r="D81">
        <f>+COUNTIF(desglose!Q:Q,'pruebas de bondad de ajuste'!$A81)/'estadísticos descriptivos'!D$2</f>
        <v>0</v>
      </c>
      <c r="E81" s="4">
        <f>+COUNTIF(desglose!R:R,'pruebas de bondad de ajuste'!$A81)/'estadísticos descriptivos'!E$2</f>
        <v>0</v>
      </c>
      <c r="F81" s="3">
        <f>+_xlfn.POISSON.DIST($A81,'estadísticos descriptivos'!B$6,0)*'estadísticos descriptivos'!B$2</f>
        <v>3.1264586668534046E-82</v>
      </c>
      <c r="G81">
        <f>+_xlfn.POISSON.DIST($A81,'estadísticos descriptivos'!C$6,0)*'estadísticos descriptivos'!C$2</f>
        <v>2.4628593305913421E-123</v>
      </c>
      <c r="H81">
        <f>+_xlfn.POISSON.DIST($A81,'estadísticos descriptivos'!D$6,0)*'estadísticos descriptivos'!D$2</f>
        <v>4.442399754279671E-86</v>
      </c>
      <c r="I81">
        <f>+_xlfn.POISSON.DIST($A81,'estadísticos descriptivos'!E$6,0)*'estadísticos descriptivos'!E$2</f>
        <v>4.7209376254750304E-133</v>
      </c>
      <c r="J81">
        <f t="shared" si="17"/>
        <v>3.1264586668534046E-82</v>
      </c>
      <c r="K81">
        <f t="shared" si="18"/>
        <v>2.4628593305913421E-123</v>
      </c>
      <c r="L81">
        <f t="shared" si="19"/>
        <v>4.442399754279671E-86</v>
      </c>
      <c r="M81" s="4">
        <f t="shared" si="20"/>
        <v>4.7209376254750304E-133</v>
      </c>
      <c r="N81">
        <f>BINOMDIST($A81,90,'estadísticos descriptivos'!B$6/90,0)*'estadísticos descriptivos'!B$2</f>
        <v>2.1853963230436335E-103</v>
      </c>
      <c r="O81">
        <f>BINOMDIST($A81,90,'estadísticos descriptivos'!C$6/90,0)*'estadísticos descriptivos'!C$2</f>
        <v>3.6514402441512588E-145</v>
      </c>
      <c r="P81">
        <f>BINOMDIST($A81,90,'estadísticos descriptivos'!D$6/90,0)*'estadísticos descriptivos'!D$2</f>
        <v>2.4616728757604334E-107</v>
      </c>
      <c r="Q81">
        <f>BINOMDIST($A81,90,'estadísticos descriptivos'!E$6/90,0)*'estadísticos descriptivos'!E$2</f>
        <v>5.9920738644711102E-155</v>
      </c>
      <c r="R81" s="3">
        <f t="shared" si="21"/>
        <v>2.1853963230436335E-103</v>
      </c>
      <c r="S81">
        <f t="shared" si="22"/>
        <v>3.6514402441512588E-145</v>
      </c>
      <c r="T81">
        <f t="shared" si="23"/>
        <v>2.4616728757604331E-107</v>
      </c>
      <c r="U81">
        <f t="shared" si="24"/>
        <v>5.992073864471111E-155</v>
      </c>
      <c r="V81" s="3">
        <f t="shared" si="30"/>
        <v>-6.1933387984767564E-92</v>
      </c>
      <c r="W81">
        <f t="shared" si="31"/>
        <v>4.344146023276829E-36</v>
      </c>
      <c r="X81">
        <f t="shared" si="32"/>
        <v>4.4112070817921272E-30</v>
      </c>
      <c r="Y81" s="4" t="e">
        <f t="shared" si="33"/>
        <v>#DIV/0!</v>
      </c>
      <c r="Z81">
        <f t="shared" si="25"/>
        <v>-6.1933387984767564E-92</v>
      </c>
      <c r="AA81">
        <f t="shared" si="26"/>
        <v>4.3441460232768296E-36</v>
      </c>
      <c r="AB81">
        <f t="shared" si="27"/>
        <v>4.4112070817921272E-30</v>
      </c>
      <c r="AC81" s="4" t="e">
        <f t="shared" si="28"/>
        <v>#DIV/0!</v>
      </c>
    </row>
    <row r="82" spans="1:29">
      <c r="A82">
        <f t="shared" si="29"/>
        <v>78</v>
      </c>
      <c r="B82" s="3">
        <f>+COUNTIF(desglose!F:F,'pruebas de bondad de ajuste'!$A82)</f>
        <v>0</v>
      </c>
      <c r="C82">
        <f>+COUNTIF(desglose!G:G,'pruebas de bondad de ajuste'!$A82)</f>
        <v>0</v>
      </c>
      <c r="D82">
        <f>+COUNTIF(desglose!Q:Q,'pruebas de bondad de ajuste'!$A82)/'estadísticos descriptivos'!D$2</f>
        <v>0</v>
      </c>
      <c r="E82" s="4">
        <f>+COUNTIF(desglose!R:R,'pruebas de bondad de ajuste'!$A82)/'estadísticos descriptivos'!E$2</f>
        <v>0</v>
      </c>
      <c r="F82" s="3">
        <f>+_xlfn.POISSON.DIST($A82,'estadísticos descriptivos'!B$6,0)*'estadísticos descriptivos'!B$2</f>
        <v>1.0202895416304588E-83</v>
      </c>
      <c r="G82">
        <f>+_xlfn.POISSON.DIST($A82,'estadísticos descriptivos'!C$6,0)*'estadísticos descriptivos'!C$2</f>
        <v>2.2963723362157874E-125</v>
      </c>
      <c r="H82">
        <f>+_xlfn.POISSON.DIST($A82,'estadísticos descriptivos'!D$6,0)*'estadísticos descriptivos'!D$2</f>
        <v>1.2944055228087234E-87</v>
      </c>
      <c r="I82">
        <f>+_xlfn.POISSON.DIST($A82,'estadísticos descriptivos'!E$6,0)*'estadísticos descriptivos'!E$2</f>
        <v>3.3013549828498074E-135</v>
      </c>
      <c r="J82">
        <f t="shared" si="17"/>
        <v>1.0202895416304588E-83</v>
      </c>
      <c r="K82">
        <f t="shared" si="18"/>
        <v>2.2963723362157874E-125</v>
      </c>
      <c r="L82">
        <f t="shared" si="19"/>
        <v>1.2944055228087234E-87</v>
      </c>
      <c r="M82" s="4">
        <f t="shared" si="20"/>
        <v>3.3013549828498074E-135</v>
      </c>
      <c r="N82">
        <f>BINOMDIST($A82,90,'estadísticos descriptivos'!B$6/90,0)*'estadísticos descriptivos'!B$2</f>
        <v>1.0601368164452703E-105</v>
      </c>
      <c r="O82">
        <f>BINOMDIST($A82,90,'estadísticos descriptivos'!C$6/90,0)*'estadísticos descriptivos'!C$2</f>
        <v>4.9578278942991437E-148</v>
      </c>
      <c r="P82">
        <f>BINOMDIST($A82,90,'estadísticos descriptivos'!D$6/90,0)*'estadísticos descriptivos'!D$2</f>
        <v>1.0628984783075722E-109</v>
      </c>
      <c r="Q82">
        <f>BINOMDIST($A82,90,'estadísticos descriptivos'!E$6/90,0)*'estadísticos descriptivos'!E$2</f>
        <v>6.0895059598288919E-158</v>
      </c>
      <c r="R82" s="3">
        <f t="shared" si="21"/>
        <v>1.0601368164452703E-105</v>
      </c>
      <c r="S82">
        <f t="shared" si="22"/>
        <v>4.9578278942991437E-148</v>
      </c>
      <c r="T82">
        <f t="shared" si="23"/>
        <v>1.0628984783075722E-109</v>
      </c>
      <c r="U82">
        <f t="shared" si="24"/>
        <v>6.0895059573217209E-158</v>
      </c>
      <c r="V82" s="3">
        <f t="shared" si="30"/>
        <v>5.6035594129635464E-93</v>
      </c>
      <c r="W82">
        <f t="shared" si="31"/>
        <v>1.4265616702929541E-36</v>
      </c>
      <c r="X82">
        <f t="shared" si="32"/>
        <v>1.6415013266922487E-30</v>
      </c>
      <c r="Y82" s="4" t="e">
        <f t="shared" si="33"/>
        <v>#DIV/0!</v>
      </c>
      <c r="Z82">
        <f t="shared" si="25"/>
        <v>5.6035594129635464E-93</v>
      </c>
      <c r="AA82">
        <f t="shared" si="26"/>
        <v>1.4265616702929541E-36</v>
      </c>
      <c r="AB82">
        <f t="shared" si="27"/>
        <v>1.6415013266922487E-30</v>
      </c>
      <c r="AC82" s="4" t="e">
        <f t="shared" si="28"/>
        <v>#DIV/0!</v>
      </c>
    </row>
    <row r="83" spans="1:29">
      <c r="A83">
        <f t="shared" si="29"/>
        <v>79</v>
      </c>
      <c r="B83" s="3">
        <f>+COUNTIF(desglose!F:F,'pruebas de bondad de ajuste'!$A83)</f>
        <v>0</v>
      </c>
      <c r="C83">
        <f>+COUNTIF(desglose!G:G,'pruebas de bondad de ajuste'!$A83)</f>
        <v>0</v>
      </c>
      <c r="D83">
        <f>+COUNTIF(desglose!Q:Q,'pruebas de bondad de ajuste'!$A83)/'estadísticos descriptivos'!D$2</f>
        <v>0</v>
      </c>
      <c r="E83" s="4">
        <f>+COUNTIF(desglose!R:R,'pruebas de bondad de ajuste'!$A83)/'estadísticos descriptivos'!E$2</f>
        <v>0</v>
      </c>
      <c r="F83" s="3">
        <f>+_xlfn.POISSON.DIST($A83,'estadísticos descriptivos'!B$6,0)*'estadísticos descriptivos'!B$2</f>
        <v>3.2874691790164439E-85</v>
      </c>
      <c r="G83">
        <f>+_xlfn.POISSON.DIST($A83,'estadísticos descriptivos'!C$6,0)*'estadísticos descriptivos'!C$2</f>
        <v>2.114036673156172E-127</v>
      </c>
      <c r="H83">
        <f>+_xlfn.POISSON.DIST($A83,'estadísticos descriptivos'!D$6,0)*'estadísticos descriptivos'!D$2</f>
        <v>3.7238363717166769E-89</v>
      </c>
      <c r="I83">
        <f>+_xlfn.POISSON.DIST($A83,'estadísticos descriptivos'!E$6,0)*'estadísticos descriptivos'!E$2</f>
        <v>2.279416558929769E-137</v>
      </c>
      <c r="J83">
        <f t="shared" si="17"/>
        <v>3.2874691790164439E-85</v>
      </c>
      <c r="K83">
        <f t="shared" si="18"/>
        <v>2.114036673156172E-127</v>
      </c>
      <c r="L83">
        <f t="shared" si="19"/>
        <v>3.7238363717166769E-89</v>
      </c>
      <c r="M83" s="4">
        <f t="shared" si="20"/>
        <v>2.279416558929769E-137</v>
      </c>
      <c r="N83">
        <f>BINOMDIST($A83,90,'estadísticos descriptivos'!B$6/90,0)*'estadísticos descriptivos'!B$2</f>
        <v>4.6870440054424545E-108</v>
      </c>
      <c r="O83">
        <f>BINOMDIST($A83,90,'estadísticos descriptivos'!C$6/90,0)*'estadísticos descriptivos'!C$2</f>
        <v>6.135134675458735E-151</v>
      </c>
      <c r="P83">
        <f>BINOMDIST($A83,90,'estadísticos descriptivos'!D$6/90,0)*'estadísticos descriptivos'!D$2</f>
        <v>4.1827184822230801E-112</v>
      </c>
      <c r="Q83">
        <f>BINOMDIST($A83,90,'estadísticos descriptivos'!E$6/90,0)*'estadísticos descriptivos'!E$2</f>
        <v>5.6401722381863577E-161</v>
      </c>
      <c r="R83" s="3">
        <f t="shared" si="21"/>
        <v>4.6870440054424545E-108</v>
      </c>
      <c r="S83">
        <f t="shared" si="22"/>
        <v>6.135134675458735E-151</v>
      </c>
      <c r="T83">
        <f t="shared" si="23"/>
        <v>4.1827184822230801E-112</v>
      </c>
      <c r="U83">
        <f t="shared" si="24"/>
        <v>5.641286515464207E-161</v>
      </c>
      <c r="V83" s="3">
        <f t="shared" si="30"/>
        <v>-5.096550845744118E-94</v>
      </c>
      <c r="W83">
        <f t="shared" si="31"/>
        <v>4.6842756472741485E-37</v>
      </c>
      <c r="X83">
        <f t="shared" si="32"/>
        <v>6.1055074490336191E-31</v>
      </c>
      <c r="Y83" s="4" t="e">
        <f t="shared" si="33"/>
        <v>#DIV/0!</v>
      </c>
      <c r="Z83">
        <f t="shared" si="25"/>
        <v>-5.096550845744118E-94</v>
      </c>
      <c r="AA83">
        <f t="shared" si="26"/>
        <v>4.6842756472741485E-37</v>
      </c>
      <c r="AB83">
        <f t="shared" si="27"/>
        <v>6.1055074490336191E-31</v>
      </c>
      <c r="AC83" s="4" t="e">
        <f t="shared" si="28"/>
        <v>#DIV/0!</v>
      </c>
    </row>
    <row r="84" spans="1:29">
      <c r="A84">
        <f t="shared" si="29"/>
        <v>80</v>
      </c>
      <c r="B84" s="3">
        <f>+COUNTIF(desglose!F:F,'pruebas de bondad de ajuste'!$A84)</f>
        <v>0</v>
      </c>
      <c r="C84">
        <f>+COUNTIF(desglose!G:G,'pruebas de bondad de ajuste'!$A84)</f>
        <v>0</v>
      </c>
      <c r="D84">
        <f>+COUNTIF(desglose!Q:Q,'pruebas de bondad de ajuste'!$A84)/'estadísticos descriptivos'!D$2</f>
        <v>0</v>
      </c>
      <c r="E84" s="4">
        <f>+COUNTIF(desglose!R:R,'pruebas de bondad de ajuste'!$A84)/'estadísticos descriptivos'!E$2</f>
        <v>0</v>
      </c>
      <c r="F84" s="3">
        <f>+_xlfn.POISSON.DIST($A84,'estadísticos descriptivos'!B$6,0)*'estadísticos descriptivos'!B$2</f>
        <v>1.0460129205961264E-86</v>
      </c>
      <c r="G84">
        <f>+_xlfn.POISSON.DIST($A84,'estadísticos descriptivos'!C$6,0)*'estadísticos descriptivos'!C$2</f>
        <v>1.9218515210508552E-129</v>
      </c>
      <c r="H84">
        <f>+_xlfn.POISSON.DIST($A84,'estadísticos descriptivos'!D$6,0)*'estadísticos descriptivos'!D$2</f>
        <v>1.0579080601467605E-90</v>
      </c>
      <c r="I84">
        <f>+_xlfn.POISSON.DIST($A84,'estadísticos descriptivos'!E$6,0)*'estadísticos descriptivos'!E$2</f>
        <v>1.5541476538155777E-139</v>
      </c>
      <c r="J84">
        <f t="shared" si="17"/>
        <v>1.0460129205961264E-86</v>
      </c>
      <c r="K84">
        <f t="shared" si="18"/>
        <v>1.9218515210508552E-129</v>
      </c>
      <c r="L84">
        <f t="shared" si="19"/>
        <v>1.0579080601467605E-90</v>
      </c>
      <c r="M84" s="4">
        <f t="shared" si="20"/>
        <v>1.5541476538155775E-139</v>
      </c>
      <c r="N84">
        <f>BINOMDIST($A84,90,'estadísticos descriptivos'!B$6/90,0)*'estadísticos descriptivos'!B$2</f>
        <v>1.8757920396001357E-110</v>
      </c>
      <c r="O84">
        <f>BINOMDIST($A84,90,'estadísticos descriptivos'!C$6/90,0)*'estadísticos descriptivos'!C$2</f>
        <v>6.8723504511246069E-154</v>
      </c>
      <c r="P84">
        <f>BINOMDIST($A84,90,'estadísticos descriptivos'!D$6/90,0)*'estadísticos descriptivos'!D$2</f>
        <v>1.4899580085638691E-114</v>
      </c>
      <c r="Q84">
        <f>BINOMDIST($A84,90,'estadísticos descriptivos'!E$6/90,0)*'estadísticos descriptivos'!E$2</f>
        <v>4.7288029436015275E-164</v>
      </c>
      <c r="R84" s="3">
        <f t="shared" si="21"/>
        <v>1.8757920396001357E-110</v>
      </c>
      <c r="S84">
        <f t="shared" si="22"/>
        <v>6.8723504511246069E-154</v>
      </c>
      <c r="T84">
        <f t="shared" si="23"/>
        <v>1.4899580085638691E-114</v>
      </c>
      <c r="U84">
        <f t="shared" si="24"/>
        <v>0</v>
      </c>
      <c r="V84" s="3">
        <f t="shared" si="30"/>
        <v>4.6590186258889372E-95</v>
      </c>
      <c r="W84">
        <f t="shared" si="31"/>
        <v>1.5380162890784233E-37</v>
      </c>
      <c r="X84">
        <f t="shared" si="32"/>
        <v>2.2698855245299978E-31</v>
      </c>
      <c r="Y84" s="4" t="e">
        <f t="shared" si="33"/>
        <v>#DIV/0!</v>
      </c>
      <c r="Z84">
        <f t="shared" si="25"/>
        <v>4.6590186258889372E-95</v>
      </c>
      <c r="AA84">
        <f t="shared" si="26"/>
        <v>1.5380162890784233E-37</v>
      </c>
      <c r="AB84">
        <f t="shared" si="27"/>
        <v>2.2698855245299978E-31</v>
      </c>
      <c r="AC84" s="4" t="e">
        <f t="shared" si="28"/>
        <v>#DIV/0!</v>
      </c>
    </row>
    <row r="85" spans="1:29">
      <c r="A85">
        <f t="shared" si="29"/>
        <v>81</v>
      </c>
      <c r="B85" s="3">
        <f>+COUNTIF(desglose!F:F,'pruebas de bondad de ajuste'!$A85)</f>
        <v>0</v>
      </c>
      <c r="C85">
        <f>+COUNTIF(desglose!G:G,'pruebas de bondad de ajuste'!$A85)</f>
        <v>0</v>
      </c>
      <c r="D85">
        <f>+COUNTIF(desglose!Q:Q,'pruebas de bondad de ajuste'!$A85)/'estadísticos descriptivos'!D$2</f>
        <v>0</v>
      </c>
      <c r="E85" s="4">
        <f>+COUNTIF(desglose!R:R,'pruebas de bondad de ajuste'!$A85)/'estadísticos descriptivos'!E$2</f>
        <v>0</v>
      </c>
      <c r="F85" s="3">
        <f>+_xlfn.POISSON.DIST($A85,'estadísticos descriptivos'!B$6,0)*'estadísticos descriptivos'!B$2</f>
        <v>3.2871337572045191E-88</v>
      </c>
      <c r="G85">
        <f>+_xlfn.POISSON.DIST($A85,'estadísticos descriptivos'!C$6,0)*'estadísticos descriptivos'!C$2</f>
        <v>1.7255681446023494E-131</v>
      </c>
      <c r="H85">
        <f>+_xlfn.POISSON.DIST($A85,'estadísticos descriptivos'!D$6,0)*'estadísticos descriptivos'!D$2</f>
        <v>2.968316667078673E-92</v>
      </c>
      <c r="I85">
        <f>+_xlfn.POISSON.DIST($A85,'estadísticos descriptivos'!E$6,0)*'estadísticos descriptivos'!E$2</f>
        <v>1.0465640766435012E-141</v>
      </c>
      <c r="J85">
        <f t="shared" si="17"/>
        <v>3.2871337572045191E-88</v>
      </c>
      <c r="K85">
        <f t="shared" si="18"/>
        <v>1.7255681446023494E-131</v>
      </c>
      <c r="L85">
        <f t="shared" si="19"/>
        <v>2.968316667078673E-92</v>
      </c>
      <c r="M85" s="4">
        <f t="shared" si="20"/>
        <v>1.0465640766435012E-141</v>
      </c>
      <c r="N85">
        <f>BINOMDIST($A85,90,'estadísticos descriptivos'!B$6/90,0)*'estadísticos descriptivos'!B$2</f>
        <v>6.7403528026494008E-113</v>
      </c>
      <c r="O85">
        <f>BINOMDIST($A85,90,'estadísticos descriptivos'!C$6/90,0)*'estadísticos descriptivos'!C$2</f>
        <v>6.9119211999944933E-157</v>
      </c>
      <c r="P85">
        <f>BINOMDIST($A85,90,'estadísticos descriptivos'!D$6/90,0)*'estadísticos descriptivos'!D$2</f>
        <v>4.7654257294314037E-117</v>
      </c>
      <c r="Q85">
        <f>BINOMDIST($A85,90,'estadísticos descriptivos'!E$6/90,0)*'estadísticos descriptivos'!E$2</f>
        <v>3.5597733691670692E-167</v>
      </c>
      <c r="R85" s="3">
        <f t="shared" si="21"/>
        <v>6.7403528026494008E-113</v>
      </c>
      <c r="S85">
        <f t="shared" si="22"/>
        <v>6.9119212000051116E-157</v>
      </c>
      <c r="T85">
        <f t="shared" si="23"/>
        <v>4.7654257294314037E-117</v>
      </c>
      <c r="U85">
        <f t="shared" si="24"/>
        <v>0</v>
      </c>
      <c r="V85" s="3">
        <f t="shared" si="30"/>
        <v>-4.2800978440260997E-96</v>
      </c>
      <c r="W85">
        <f t="shared" si="31"/>
        <v>5.0494821170082023E-38</v>
      </c>
      <c r="X85">
        <f t="shared" si="32"/>
        <v>8.4351451027034591E-32</v>
      </c>
      <c r="Y85" s="4" t="e">
        <f t="shared" si="33"/>
        <v>#DIV/0!</v>
      </c>
      <c r="Z85">
        <f t="shared" si="25"/>
        <v>-4.2800978440260997E-96</v>
      </c>
      <c r="AA85">
        <f t="shared" si="26"/>
        <v>5.0494821170082023E-38</v>
      </c>
      <c r="AB85">
        <f t="shared" si="27"/>
        <v>8.4351451027034591E-32</v>
      </c>
      <c r="AC85" s="4" t="e">
        <f t="shared" si="28"/>
        <v>#DIV/0!</v>
      </c>
    </row>
    <row r="86" spans="1:29">
      <c r="A86">
        <f t="shared" si="29"/>
        <v>82</v>
      </c>
      <c r="B86" s="3">
        <f>+COUNTIF(desglose!F:F,'pruebas de bondad de ajuste'!$A86)</f>
        <v>0</v>
      </c>
      <c r="C86">
        <f>+COUNTIF(desglose!G:G,'pruebas de bondad de ajuste'!$A86)</f>
        <v>0</v>
      </c>
      <c r="D86">
        <f>+COUNTIF(desglose!Q:Q,'pruebas de bondad de ajuste'!$A86)/'estadísticos descriptivos'!D$2</f>
        <v>0</v>
      </c>
      <c r="E86" s="4">
        <f>+COUNTIF(desglose!R:R,'pruebas de bondad de ajuste'!$A86)/'estadísticos descriptivos'!E$2</f>
        <v>0</v>
      </c>
      <c r="F86" s="3">
        <f>+_xlfn.POISSON.DIST($A86,'estadísticos descriptivos'!B$6,0)*'estadísticos descriptivos'!B$2</f>
        <v>1.02039628826746E-89</v>
      </c>
      <c r="G86">
        <f>+_xlfn.POISSON.DIST($A86,'estadísticos descriptivos'!C$6,0)*'estadísticos descriptivos'!C$2</f>
        <v>1.5304373788047076E-133</v>
      </c>
      <c r="H86">
        <f>+_xlfn.POISSON.DIST($A86,'estadísticos descriptivos'!D$6,0)*'estadísticos descriptivos'!D$2</f>
        <v>8.2270417601952051E-94</v>
      </c>
      <c r="I86">
        <f>+_xlfn.POISSON.DIST($A86,'estadísticos descriptivos'!E$6,0)*'estadísticos descriptivos'!E$2</f>
        <v>6.9616235696905111E-144</v>
      </c>
      <c r="J86">
        <f t="shared" si="17"/>
        <v>1.02039628826746E-89</v>
      </c>
      <c r="K86">
        <f t="shared" si="18"/>
        <v>1.5304373788047076E-133</v>
      </c>
      <c r="L86">
        <f t="shared" si="19"/>
        <v>8.2270417601952051E-94</v>
      </c>
      <c r="M86" s="4">
        <f t="shared" si="20"/>
        <v>6.9616235696905111E-144</v>
      </c>
      <c r="N86">
        <f>BINOMDIST($A86,90,'estadísticos descriptivos'!B$6/90,0)*'estadísticos descriptivos'!B$2</f>
        <v>2.1532489557675408E-115</v>
      </c>
      <c r="O86">
        <f>BINOMDIST($A86,90,'estadísticos descriptivos'!C$6/90,0)*'estadísticos descriptivos'!C$2</f>
        <v>6.1802484526305558E-160</v>
      </c>
      <c r="P86">
        <f>BINOMDIST($A86,90,'estadísticos descriptivos'!D$6/90,0)*'estadísticos descriptivos'!D$2</f>
        <v>1.355011739064737E-119</v>
      </c>
      <c r="Q86">
        <f>BINOMDIST($A86,90,'estadísticos descriptivos'!E$6/90,0)*'estadísticos descriptivos'!E$2</f>
        <v>2.3823587390320851E-170</v>
      </c>
      <c r="R86" s="3">
        <f t="shared" si="21"/>
        <v>2.1532489557675408E-115</v>
      </c>
      <c r="S86">
        <f t="shared" si="22"/>
        <v>6.180208974032056E-160</v>
      </c>
      <c r="T86">
        <f t="shared" si="23"/>
        <v>1.355011739064737E-119</v>
      </c>
      <c r="U86">
        <f t="shared" si="24"/>
        <v>0</v>
      </c>
      <c r="V86" s="3">
        <f t="shared" si="30"/>
        <v>3.950866815062175E-97</v>
      </c>
      <c r="W86">
        <f t="shared" si="31"/>
        <v>1.6576809108167585E-38</v>
      </c>
      <c r="X86">
        <f t="shared" si="32"/>
        <v>3.1332291219816845E-32</v>
      </c>
      <c r="Y86" s="4" t="e">
        <f t="shared" si="33"/>
        <v>#DIV/0!</v>
      </c>
      <c r="Z86">
        <f t="shared" si="25"/>
        <v>3.950866815062175E-97</v>
      </c>
      <c r="AA86">
        <f t="shared" si="26"/>
        <v>1.6576809108167585E-38</v>
      </c>
      <c r="AB86">
        <f t="shared" si="27"/>
        <v>3.1332291219816845E-32</v>
      </c>
      <c r="AC86" s="4" t="e">
        <f t="shared" si="28"/>
        <v>#DIV/0!</v>
      </c>
    </row>
    <row r="87" spans="1:29">
      <c r="A87">
        <f t="shared" si="29"/>
        <v>83</v>
      </c>
      <c r="B87" s="3">
        <f>+COUNTIF(desglose!F:F,'pruebas de bondad de ajuste'!$A87)</f>
        <v>0</v>
      </c>
      <c r="C87">
        <f>+COUNTIF(desglose!G:G,'pruebas de bondad de ajuste'!$A87)</f>
        <v>0</v>
      </c>
      <c r="D87">
        <f>+COUNTIF(desglose!Q:Q,'pruebas de bondad de ajuste'!$A87)/'estadísticos descriptivos'!D$2</f>
        <v>0</v>
      </c>
      <c r="E87" s="4">
        <f>+COUNTIF(desglose!R:R,'pruebas de bondad de ajuste'!$A87)/'estadísticos descriptivos'!E$2</f>
        <v>0</v>
      </c>
      <c r="F87" s="3">
        <f>+_xlfn.POISSON.DIST($A87,'estadísticos descriptivos'!B$6,0)*'estadísticos descriptivos'!B$2</f>
        <v>3.1293643013678261E-91</v>
      </c>
      <c r="G87">
        <f>+_xlfn.POISSON.DIST($A87,'estadísticos descriptivos'!C$6,0)*'estadísticos descriptivos'!C$2</f>
        <v>1.3410185137391429E-135</v>
      </c>
      <c r="H87">
        <f>+_xlfn.POISSON.DIST($A87,'estadísticos descriptivos'!D$6,0)*'estadísticos descriptivos'!D$2</f>
        <v>2.252749660513536E-95</v>
      </c>
      <c r="I87">
        <f>+_xlfn.POISSON.DIST($A87,'estadísticos descriptivos'!E$6,0)*'estadísticos descriptivos'!E$2</f>
        <v>4.5749990600378312E-146</v>
      </c>
      <c r="J87">
        <f t="shared" si="17"/>
        <v>3.1293643013678261E-91</v>
      </c>
      <c r="K87">
        <f t="shared" si="18"/>
        <v>1.3410185137391429E-135</v>
      </c>
      <c r="L87">
        <f t="shared" si="19"/>
        <v>2.252749660513536E-95</v>
      </c>
      <c r="M87" s="4">
        <f t="shared" si="20"/>
        <v>4.5749990600378312E-146</v>
      </c>
      <c r="N87">
        <f>BINOMDIST($A87,90,'estadísticos descriptivos'!B$6/90,0)*'estadísticos descriptivos'!B$2</f>
        <v>6.0407254726836802E-118</v>
      </c>
      <c r="O87">
        <f>BINOMDIST($A87,90,'estadísticos descriptivos'!C$6/90,0)*'estadísticos descriptivos'!C$2</f>
        <v>4.8528439742883199E-163</v>
      </c>
      <c r="P87">
        <f>BINOMDIST($A87,90,'estadísticos descriptivos'!D$6/90,0)*'estadísticos descriptivos'!D$2</f>
        <v>3.3835114278413778E-122</v>
      </c>
      <c r="Q87">
        <f>BINOMDIST($A87,90,'estadísticos descriptivos'!E$6/90,0)*'estadísticos descriptivos'!E$2</f>
        <v>1.4001520652553111E-173</v>
      </c>
      <c r="R87" s="3">
        <f t="shared" si="21"/>
        <v>6.0407254726836793E-118</v>
      </c>
      <c r="S87">
        <f t="shared" si="22"/>
        <v>0</v>
      </c>
      <c r="T87">
        <f t="shared" si="23"/>
        <v>3.3835114278413778E-122</v>
      </c>
      <c r="U87">
        <f t="shared" si="24"/>
        <v>0</v>
      </c>
      <c r="V87" s="3">
        <f t="shared" si="30"/>
        <v>-3.6639661689293068E-98</v>
      </c>
      <c r="W87">
        <f t="shared" si="31"/>
        <v>5.4415670363619158E-39</v>
      </c>
      <c r="X87">
        <f t="shared" si="32"/>
        <v>1.1633413528644035E-32</v>
      </c>
      <c r="Y87" s="4" t="e">
        <f t="shared" si="33"/>
        <v>#DIV/0!</v>
      </c>
      <c r="Z87">
        <f t="shared" si="25"/>
        <v>-3.6639661689293068E-98</v>
      </c>
      <c r="AA87">
        <f t="shared" si="26"/>
        <v>5.4415670363619158E-39</v>
      </c>
      <c r="AB87">
        <f t="shared" si="27"/>
        <v>1.1633413528644035E-32</v>
      </c>
      <c r="AC87" s="4" t="e">
        <f t="shared" si="28"/>
        <v>#DIV/0!</v>
      </c>
    </row>
    <row r="88" spans="1:29">
      <c r="A88">
        <f t="shared" si="29"/>
        <v>84</v>
      </c>
      <c r="B88" s="3">
        <f>+COUNTIF(desglose!F:F,'pruebas de bondad de ajuste'!$A88)</f>
        <v>0</v>
      </c>
      <c r="C88">
        <f>+COUNTIF(desglose!G:G,'pruebas de bondad de ajuste'!$A88)</f>
        <v>0</v>
      </c>
      <c r="D88">
        <f>+COUNTIF(desglose!Q:Q,'pruebas de bondad de ajuste'!$A88)/'estadísticos descriptivos'!D$2</f>
        <v>0</v>
      </c>
      <c r="E88" s="4">
        <f>+COUNTIF(desglose!R:R,'pruebas de bondad de ajuste'!$A88)/'estadísticos descriptivos'!E$2</f>
        <v>0</v>
      </c>
      <c r="F88" s="3">
        <f>+_xlfn.POISSON.DIST($A88,'estadísticos descriptivos'!B$6,0)*'estadísticos descriptivos'!B$2</f>
        <v>9.4829221253575805E-93</v>
      </c>
      <c r="G88">
        <f>+_xlfn.POISSON.DIST($A88,'estadísticos descriptivos'!C$6,0)*'estadísticos descriptivos'!C$2</f>
        <v>1.1610549902503612E-137</v>
      </c>
      <c r="H88">
        <f>+_xlfn.POISSON.DIST($A88,'estadísticos descriptivos'!D$6,0)*'estadísticos descriptivos'!D$2</f>
        <v>6.0951018953291293E-97</v>
      </c>
      <c r="I88">
        <f>+_xlfn.POISSON.DIST($A88,'estadísticos descriptivos'!E$6,0)*'estadísticos descriptivos'!E$2</f>
        <v>2.9707786104142434E-148</v>
      </c>
      <c r="J88">
        <f t="shared" si="17"/>
        <v>9.4829221253575805E-93</v>
      </c>
      <c r="K88">
        <f t="shared" si="18"/>
        <v>1.1610549902503612E-137</v>
      </c>
      <c r="L88">
        <f t="shared" si="19"/>
        <v>6.0951018953291293E-97</v>
      </c>
      <c r="M88" s="4">
        <f t="shared" si="20"/>
        <v>2.9707786104142434E-148</v>
      </c>
      <c r="N88">
        <f>BINOMDIST($A88,90,'estadísticos descriptivos'!B$6/90,0)*'estadísticos descriptivos'!B$2</f>
        <v>1.4651794285789635E-120</v>
      </c>
      <c r="O88">
        <f>BINOMDIST($A88,90,'estadísticos descriptivos'!C$6/90,0)*'estadísticos descriptivos'!C$2</f>
        <v>3.2945308718865021E-166</v>
      </c>
      <c r="P88">
        <f>BINOMDIST($A88,90,'estadísticos descriptivos'!D$6/90,0)*'estadísticos descriptivos'!D$2</f>
        <v>7.3046447060482239E-125</v>
      </c>
      <c r="Q88">
        <f>BINOMDIST($A88,90,'estadísticos descriptivos'!E$6/90,0)*'estadísticos descriptivos'!E$2</f>
        <v>7.1145938275172448E-177</v>
      </c>
      <c r="R88" s="3">
        <f t="shared" si="21"/>
        <v>1.4651794285789635E-120</v>
      </c>
      <c r="S88">
        <f t="shared" si="22"/>
        <v>0</v>
      </c>
      <c r="T88">
        <f t="shared" si="23"/>
        <v>7.3046447060482239E-125</v>
      </c>
      <c r="U88">
        <f t="shared" si="24"/>
        <v>0</v>
      </c>
      <c r="V88" s="3">
        <f t="shared" si="30"/>
        <v>3.4132989431855303E-99</v>
      </c>
      <c r="W88">
        <f t="shared" si="31"/>
        <v>1.7861449874716353E-39</v>
      </c>
      <c r="X88">
        <f t="shared" si="32"/>
        <v>4.3175945818028963E-33</v>
      </c>
      <c r="Y88" s="4" t="e">
        <f t="shared" si="33"/>
        <v>#DIV/0!</v>
      </c>
      <c r="Z88">
        <f t="shared" si="25"/>
        <v>3.4132989431855303E-99</v>
      </c>
      <c r="AA88">
        <f t="shared" si="26"/>
        <v>1.7861449874716353E-39</v>
      </c>
      <c r="AB88">
        <f t="shared" si="27"/>
        <v>4.3175945818028963E-33</v>
      </c>
      <c r="AC88" s="4" t="e">
        <f t="shared" si="28"/>
        <v>#DIV/0!</v>
      </c>
    </row>
    <row r="89" spans="1:29">
      <c r="A89">
        <f t="shared" si="29"/>
        <v>85</v>
      </c>
      <c r="B89" s="3">
        <f>+COUNTIF(desglose!F:F,'pruebas de bondad de ajuste'!$A89)</f>
        <v>0</v>
      </c>
      <c r="C89">
        <f>+COUNTIF(desglose!G:G,'pruebas de bondad de ajuste'!$A89)</f>
        <v>0</v>
      </c>
      <c r="D89">
        <f>+COUNTIF(desglose!Q:Q,'pruebas de bondad de ajuste'!$A89)/'estadísticos descriptivos'!D$2</f>
        <v>0</v>
      </c>
      <c r="E89" s="4">
        <f>+COUNTIF(desglose!R:R,'pruebas de bondad de ajuste'!$A89)/'estadísticos descriptivos'!E$2</f>
        <v>0</v>
      </c>
      <c r="F89" s="3">
        <f>+_xlfn.POISSON.DIST($A89,'estadísticos descriptivos'!B$6,0)*'estadísticos descriptivos'!B$2</f>
        <v>2.8398055562567432E-94</v>
      </c>
      <c r="G89">
        <f>+_xlfn.POISSON.DIST($A89,'estadísticos descriptivos'!C$6,0)*'estadísticos descriptivos'!C$2</f>
        <v>9.9341603443882083E-140</v>
      </c>
      <c r="H89">
        <f>+_xlfn.POISSON.DIST($A89,'estadísticos descriptivos'!D$6,0)*'estadísticos descriptivos'!D$2</f>
        <v>1.6297063891253821E-98</v>
      </c>
      <c r="I89">
        <f>+_xlfn.POISSON.DIST($A89,'estadísticos descriptivos'!E$6,0)*'estadísticos descriptivos'!E$2</f>
        <v>1.9063819959877622E-150</v>
      </c>
      <c r="J89">
        <f t="shared" si="17"/>
        <v>2.8398055562567432E-94</v>
      </c>
      <c r="K89">
        <f t="shared" si="18"/>
        <v>9.9341603443882083E-140</v>
      </c>
      <c r="L89">
        <f t="shared" si="19"/>
        <v>1.6297063891253821E-98</v>
      </c>
      <c r="M89" s="4">
        <f t="shared" si="20"/>
        <v>1.9063819959877622E-150</v>
      </c>
      <c r="N89">
        <f>BINOMDIST($A89,90,'estadísticos descriptivos'!B$6/90,0)*'estadísticos descriptivos'!B$2</f>
        <v>3.0102744772075934E-123</v>
      </c>
      <c r="O89">
        <f>BINOMDIST($A89,90,'estadísticos descriptivos'!C$6/90,0)*'estadísticos descriptivos'!C$2</f>
        <v>1.8945427321257699E-169</v>
      </c>
      <c r="P89">
        <f>BINOMDIST($A89,90,'estadísticos descriptivos'!D$6/90,0)*'estadísticos descriptivos'!D$2</f>
        <v>1.3358082364001977E-127</v>
      </c>
      <c r="Q89">
        <f>BINOMDIST($A89,90,'estadísticos descriptivos'!E$6/90,0)*'estadísticos descriptivos'!E$2</f>
        <v>3.062235506822286E-180</v>
      </c>
      <c r="R89" s="3">
        <f t="shared" si="21"/>
        <v>3.0102744772075934E-123</v>
      </c>
      <c r="S89">
        <f t="shared" si="22"/>
        <v>0</v>
      </c>
      <c r="T89">
        <f t="shared" si="23"/>
        <v>1.3358082364001977E-127</v>
      </c>
      <c r="U89">
        <f t="shared" si="24"/>
        <v>0</v>
      </c>
      <c r="V89" s="3">
        <f t="shared" si="30"/>
        <v>-3.1937932528446064E-100</v>
      </c>
      <c r="W89">
        <f t="shared" si="31"/>
        <v>5.8624589624402828E-40</v>
      </c>
      <c r="X89">
        <f t="shared" si="32"/>
        <v>1.6017707456230265E-33</v>
      </c>
      <c r="Y89" s="4" t="e">
        <f t="shared" si="33"/>
        <v>#DIV/0!</v>
      </c>
      <c r="Z89">
        <f t="shared" si="25"/>
        <v>-3.1937932528446064E-100</v>
      </c>
      <c r="AA89">
        <f t="shared" si="26"/>
        <v>5.8624589624402819E-40</v>
      </c>
      <c r="AB89">
        <f t="shared" si="27"/>
        <v>1.6017707456230265E-33</v>
      </c>
      <c r="AC89" s="4" t="e">
        <f t="shared" si="28"/>
        <v>#DIV/0!</v>
      </c>
    </row>
    <row r="90" spans="1:29">
      <c r="A90">
        <f t="shared" si="29"/>
        <v>86</v>
      </c>
      <c r="B90" s="3">
        <f>+COUNTIF(desglose!F:F,'pruebas de bondad de ajuste'!$A90)</f>
        <v>0</v>
      </c>
      <c r="C90">
        <f>+COUNTIF(desglose!G:G,'pruebas de bondad de ajuste'!$A90)</f>
        <v>0</v>
      </c>
      <c r="D90">
        <f>+COUNTIF(desglose!Q:Q,'pruebas de bondad de ajuste'!$A90)/'estadísticos descriptivos'!D$2</f>
        <v>0</v>
      </c>
      <c r="E90" s="4">
        <f>+COUNTIF(desglose!R:R,'pruebas de bondad de ajuste'!$A90)/'estadísticos descriptivos'!E$2</f>
        <v>0</v>
      </c>
      <c r="F90" s="3">
        <f>+_xlfn.POISSON.DIST($A90,'estadísticos descriptivos'!B$6,0)*'estadísticos descriptivos'!B$2</f>
        <v>8.4053441411404379E-96</v>
      </c>
      <c r="G90">
        <f>+_xlfn.POISSON.DIST($A90,'estadísticos descriptivos'!C$6,0)*'estadísticos descriptivos'!C$2</f>
        <v>8.4009812637532889E-142</v>
      </c>
      <c r="H90">
        <f>+_xlfn.POISSON.DIST($A90,'estadísticos descriptivos'!D$6,0)*'estadísticos descriptivos'!D$2</f>
        <v>4.3068350663989567E-100</v>
      </c>
      <c r="I90">
        <f>+_xlfn.POISSON.DIST($A90,'estadísticos descriptivos'!E$6,0)*'estadísticos descriptivos'!E$2</f>
        <v>1.2091217733537643E-152</v>
      </c>
      <c r="J90">
        <f t="shared" si="17"/>
        <v>8.4053441411404379E-96</v>
      </c>
      <c r="K90">
        <f t="shared" si="18"/>
        <v>8.4009812637532889E-142</v>
      </c>
      <c r="L90">
        <f t="shared" si="19"/>
        <v>4.3068350663989567E-100</v>
      </c>
      <c r="M90" s="4">
        <f t="shared" si="20"/>
        <v>1.2091217733537643E-152</v>
      </c>
      <c r="N90">
        <f>BINOMDIST($A90,90,'estadísticos descriptivos'!B$6/90,0)*'estadísticos descriptivos'!B$2</f>
        <v>5.0940195669034937E-126</v>
      </c>
      <c r="O90">
        <f>BINOMDIST($A90,90,'estadísticos descriptivos'!C$6/90,0)*'estadísticos descriptivos'!C$2</f>
        <v>8.9733469053454943E-173</v>
      </c>
      <c r="P90">
        <f>BINOMDIST($A90,90,'estadísticos descriptivos'!D$6/90,0)*'estadísticos descriptivos'!D$2</f>
        <v>2.0120018020245687E-130</v>
      </c>
      <c r="Q90">
        <f>BINOMDIST($A90,90,'estadísticos descriptivos'!E$6/90,0)*'estadísticos descriptivos'!E$2</f>
        <v>1.0855911467747509E-183</v>
      </c>
      <c r="R90" s="3">
        <f t="shared" si="21"/>
        <v>5.0940195669034937E-126</v>
      </c>
      <c r="S90">
        <f t="shared" si="22"/>
        <v>0</v>
      </c>
      <c r="T90">
        <f t="shared" si="23"/>
        <v>2.0120018020245687E-130</v>
      </c>
      <c r="U90">
        <f t="shared" si="24"/>
        <v>0</v>
      </c>
      <c r="V90" s="3">
        <f t="shared" si="30"/>
        <v>3.001213561298506E-101</v>
      </c>
      <c r="W90">
        <f t="shared" si="31"/>
        <v>1.9240394931671685E-40</v>
      </c>
      <c r="X90">
        <f t="shared" si="32"/>
        <v>5.9400026668327499E-34</v>
      </c>
      <c r="Y90" s="4" t="e">
        <f t="shared" si="33"/>
        <v>#DIV/0!</v>
      </c>
      <c r="Z90">
        <f t="shared" si="25"/>
        <v>3.001213561298506E-101</v>
      </c>
      <c r="AA90">
        <f t="shared" si="26"/>
        <v>1.9240394931671685E-40</v>
      </c>
      <c r="AB90">
        <f t="shared" si="27"/>
        <v>5.940002666832749E-34</v>
      </c>
      <c r="AC90" s="4" t="e">
        <f t="shared" si="28"/>
        <v>#DIV/0!</v>
      </c>
    </row>
    <row r="91" spans="1:29">
      <c r="A91">
        <f t="shared" si="29"/>
        <v>87</v>
      </c>
      <c r="B91" s="3">
        <f>+COUNTIF(desglose!F:F,'pruebas de bondad de ajuste'!$A91)</f>
        <v>0</v>
      </c>
      <c r="C91">
        <f>+COUNTIF(desglose!G:G,'pruebas de bondad de ajuste'!$A91)</f>
        <v>0</v>
      </c>
      <c r="D91">
        <f>+COUNTIF(desglose!Q:Q,'pruebas de bondad de ajuste'!$A91)/'estadísticos descriptivos'!D$2</f>
        <v>0</v>
      </c>
      <c r="E91" s="4">
        <f>+COUNTIF(desglose!R:R,'pruebas de bondad de ajuste'!$A91)/'estadísticos descriptivos'!E$2</f>
        <v>0</v>
      </c>
      <c r="F91" s="3">
        <f>+_xlfn.POISSON.DIST($A91,'estadísticos descriptivos'!B$6,0)*'estadísticos descriptivos'!B$2</f>
        <v>2.4592438448477782E-97</v>
      </c>
      <c r="G91">
        <f>+_xlfn.POISSON.DIST($A91,'estadísticos descriptivos'!C$6,0)*'estadísticos descriptivos'!C$2</f>
        <v>7.0227638568467678E-144</v>
      </c>
      <c r="H91">
        <f>+_xlfn.POISSON.DIST($A91,'estadísticos descriptivos'!D$6,0)*'estadísticos descriptivos'!D$2</f>
        <v>1.1250875304072436E-101</v>
      </c>
      <c r="I91">
        <f>+_xlfn.POISSON.DIST($A91,'estadísticos descriptivos'!E$6,0)*'estadísticos descriptivos'!E$2</f>
        <v>7.580700773377559E-155</v>
      </c>
      <c r="J91">
        <f t="shared" si="17"/>
        <v>2.4592438448477782E-97</v>
      </c>
      <c r="K91">
        <f t="shared" si="18"/>
        <v>7.0227638568467678E-144</v>
      </c>
      <c r="L91">
        <f t="shared" si="19"/>
        <v>1.1250875304072436E-101</v>
      </c>
      <c r="M91" s="4">
        <f t="shared" si="20"/>
        <v>7.5807007733775606E-155</v>
      </c>
      <c r="N91">
        <f>BINOMDIST($A91,90,'estadísticos descriptivos'!B$6/90,0)*'estadísticos descriptivos'!B$2</f>
        <v>6.8168589324584229E-129</v>
      </c>
      <c r="O91">
        <f>BINOMDIST($A91,90,'estadísticos descriptivos'!C$6/90,0)*'estadísticos descriptivos'!C$2</f>
        <v>3.3610401124972322E-176</v>
      </c>
      <c r="P91">
        <f>BINOMDIST($A91,90,'estadísticos descriptivos'!D$6/90,0)*'estadísticos descriptivos'!D$2</f>
        <v>2.3965240926979598E-133</v>
      </c>
      <c r="Q91">
        <f>BINOMDIST($A91,90,'estadísticos descriptivos'!E$6/90,0)*'estadísticos descriptivos'!E$2</f>
        <v>3.0434290630074729E-187</v>
      </c>
      <c r="R91" s="3">
        <f t="shared" si="21"/>
        <v>6.8168589324584229E-129</v>
      </c>
      <c r="S91">
        <f t="shared" si="22"/>
        <v>0</v>
      </c>
      <c r="T91">
        <f t="shared" si="23"/>
        <v>2.3965240926979598E-133</v>
      </c>
      <c r="U91">
        <f t="shared" si="24"/>
        <v>0</v>
      </c>
      <c r="V91" s="3">
        <f t="shared" si="30"/>
        <v>-2.8320098927224745E-102</v>
      </c>
      <c r="W91">
        <f t="shared" si="31"/>
        <v>6.3142222557951249E-41</v>
      </c>
      <c r="X91">
        <f t="shared" si="32"/>
        <v>2.2019353073217654E-34</v>
      </c>
      <c r="Y91" s="4" t="e">
        <f t="shared" si="33"/>
        <v>#DIV/0!</v>
      </c>
      <c r="Z91">
        <f t="shared" si="25"/>
        <v>-2.8320098927224745E-102</v>
      </c>
      <c r="AA91">
        <f t="shared" si="26"/>
        <v>6.3142222557951249E-41</v>
      </c>
      <c r="AB91">
        <f t="shared" si="27"/>
        <v>2.2019353073217654E-34</v>
      </c>
      <c r="AC91" s="4" t="e">
        <f t="shared" si="28"/>
        <v>#DIV/0!</v>
      </c>
    </row>
    <row r="92" spans="1:29">
      <c r="A92">
        <f t="shared" si="29"/>
        <v>88</v>
      </c>
      <c r="B92" s="3">
        <f>+COUNTIF(desglose!F:F,'pruebas de bondad de ajuste'!$A92)</f>
        <v>0</v>
      </c>
      <c r="C92">
        <f>+COUNTIF(desglose!G:G,'pruebas de bondad de ajuste'!$A92)</f>
        <v>0</v>
      </c>
      <c r="D92">
        <f>+COUNTIF(desglose!Q:Q,'pruebas de bondad de ajuste'!$A92)/'estadísticos descriptivos'!D$2</f>
        <v>0</v>
      </c>
      <c r="E92" s="4">
        <f>+COUNTIF(desglose!R:R,'pruebas de bondad de ajuste'!$A92)/'estadísticos descriptivos'!E$2</f>
        <v>0</v>
      </c>
      <c r="F92" s="3">
        <f>+_xlfn.POISSON.DIST($A92,'estadísticos descriptivos'!B$6,0)*'estadísticos descriptivos'!B$2</f>
        <v>7.1135152536920029E-99</v>
      </c>
      <c r="G92">
        <f>+_xlfn.POISSON.DIST($A92,'estadísticos descriptivos'!C$6,0)*'estadísticos descriptivos'!C$2</f>
        <v>5.8039370717743534E-146</v>
      </c>
      <c r="H92">
        <f>+_xlfn.POISSON.DIST($A92,'estadísticos descriptivos'!D$6,0)*'estadísticos descriptivos'!D$2</f>
        <v>2.9057012665476462E-103</v>
      </c>
      <c r="I92">
        <f>+_xlfn.POISSON.DIST($A92,'estadísticos descriptivos'!E$6,0)*'estadísticos descriptivos'!E$2</f>
        <v>4.6987814711019121E-157</v>
      </c>
      <c r="J92">
        <f t="shared" si="17"/>
        <v>7.1135152536920029E-99</v>
      </c>
      <c r="K92">
        <f t="shared" si="18"/>
        <v>5.8039370717743534E-146</v>
      </c>
      <c r="L92">
        <f t="shared" si="19"/>
        <v>2.9057012665476462E-103</v>
      </c>
      <c r="M92" s="4">
        <f t="shared" si="20"/>
        <v>4.6987814710621576E-157</v>
      </c>
      <c r="N92">
        <f>BINOMDIST($A92,90,'estadísticos descriptivos'!B$6/90,0)*'estadísticos descriptivos'!B$2</f>
        <v>6.7640350397669812E-132</v>
      </c>
      <c r="O92">
        <f>BINOMDIST($A92,90,'estadísticos descriptivos'!C$6/90,0)*'estadísticos descriptivos'!C$2</f>
        <v>9.3344939247288346E-180</v>
      </c>
      <c r="P92">
        <f>BINOMDIST($A92,90,'estadísticos descriptivos'!D$6/90,0)*'estadísticos descriptivos'!D$2</f>
        <v>2.1165721496978809E-136</v>
      </c>
      <c r="Q92">
        <f>BINOMDIST($A92,90,'estadísticos descriptivos'!E$6/90,0)*'estadísticos descriptivos'!E$2</f>
        <v>6.3264185068063316E-191</v>
      </c>
      <c r="R92" s="3">
        <f t="shared" si="21"/>
        <v>6.7640350397669812E-132</v>
      </c>
      <c r="S92">
        <f t="shared" si="22"/>
        <v>0</v>
      </c>
      <c r="T92">
        <f t="shared" si="23"/>
        <v>2.1165721496978809E-136</v>
      </c>
      <c r="U92">
        <f t="shared" si="24"/>
        <v>0</v>
      </c>
      <c r="V92" s="3">
        <f t="shared" si="30"/>
        <v>2.6831968129102152E-103</v>
      </c>
      <c r="W92">
        <f t="shared" si="31"/>
        <v>2.0720398177180498E-41</v>
      </c>
      <c r="X92">
        <f t="shared" si="32"/>
        <v>8.1593924806314822E-35</v>
      </c>
      <c r="Y92" s="4" t="e">
        <f t="shared" si="33"/>
        <v>#DIV/0!</v>
      </c>
      <c r="Z92">
        <f t="shared" si="25"/>
        <v>2.6831968129102152E-103</v>
      </c>
      <c r="AA92">
        <f t="shared" si="26"/>
        <v>2.0720398177180498E-41</v>
      </c>
      <c r="AB92">
        <f t="shared" si="27"/>
        <v>8.1593924806314822E-35</v>
      </c>
      <c r="AC92" s="4" t="e">
        <f t="shared" si="28"/>
        <v>#DIV/0!</v>
      </c>
    </row>
    <row r="93" spans="1:29">
      <c r="A93">
        <f t="shared" si="29"/>
        <v>89</v>
      </c>
      <c r="B93" s="3">
        <f>+COUNTIF(desglose!F:F,'pruebas de bondad de ajuste'!$A93)</f>
        <v>0</v>
      </c>
      <c r="C93">
        <f>+COUNTIF(desglose!G:G,'pruebas de bondad de ajuste'!$A93)</f>
        <v>0</v>
      </c>
      <c r="D93">
        <f>+COUNTIF(desglose!Q:Q,'pruebas de bondad de ajuste'!$A93)/'estadísticos descriptivos'!D$2</f>
        <v>0</v>
      </c>
      <c r="E93" s="4">
        <f>+COUNTIF(desglose!R:R,'pruebas de bondad de ajuste'!$A93)/'estadísticos descriptivos'!E$2</f>
        <v>0</v>
      </c>
      <c r="F93" s="3">
        <f>+_xlfn.POISSON.DIST($A93,'estadísticos descriptivos'!B$6,0)*'estadísticos descriptivos'!B$2</f>
        <v>2.0345089591764072E-100</v>
      </c>
      <c r="G93">
        <f>+_xlfn.POISSON.DIST($A93,'estadísticos descriptivos'!C$6,0)*'estadísticos descriptivos'!C$2</f>
        <v>4.7427473518076679E-148</v>
      </c>
      <c r="H93">
        <f>+_xlfn.POISSON.DIST($A93,'estadísticos descriptivos'!D$6,0)*'estadísticos descriptivos'!D$2</f>
        <v>7.4200747358215144E-105</v>
      </c>
      <c r="I93">
        <f>+_xlfn.POISSON.DIST($A93,'estadísticos descriptivos'!E$6,0)*'estadísticos descriptivos'!E$2</f>
        <v>2.8797434960789345E-159</v>
      </c>
      <c r="J93">
        <f t="shared" si="17"/>
        <v>2.0345089591764075E-100</v>
      </c>
      <c r="K93">
        <f t="shared" si="18"/>
        <v>4.7427473518076679E-148</v>
      </c>
      <c r="L93">
        <f t="shared" si="19"/>
        <v>7.4200747358215144E-105</v>
      </c>
      <c r="M93" s="4">
        <f t="shared" si="20"/>
        <v>2.8797431162448095E-159</v>
      </c>
      <c r="N93">
        <f>BINOMDIST($A93,90,'estadísticos descriptivos'!B$6/90,0)*'estadísticos descriptivos'!B$2</f>
        <v>4.4241393425091769E-135</v>
      </c>
      <c r="O93">
        <f>BINOMDIST($A93,90,'estadísticos descriptivos'!C$6/90,0)*'estadísticos descriptivos'!C$2</f>
        <v>1.7088709443655126E-183</v>
      </c>
      <c r="P93">
        <f>BINOMDIST($A93,90,'estadísticos descriptivos'!D$6/90,0)*'estadísticos descriptivos'!D$2</f>
        <v>1.2322129299050725E-139</v>
      </c>
      <c r="Q93">
        <f>BINOMDIST($A93,90,'estadísticos descriptivos'!E$6/90,0)*'estadísticos descriptivos'!E$2</f>
        <v>8.6687017084213151E-195</v>
      </c>
      <c r="R93" s="3">
        <f t="shared" si="21"/>
        <v>4.4241393425091769E-135</v>
      </c>
      <c r="S93">
        <f t="shared" si="22"/>
        <v>0</v>
      </c>
      <c r="T93">
        <f t="shared" si="23"/>
        <v>1.2322129299050725E-139</v>
      </c>
      <c r="U93">
        <f t="shared" si="24"/>
        <v>0</v>
      </c>
      <c r="V93" s="3">
        <f t="shared" si="30"/>
        <v>-2.5522558799747676E-104</v>
      </c>
      <c r="W93">
        <f t="shared" si="31"/>
        <v>6.799066540626978E-42</v>
      </c>
      <c r="X93">
        <f t="shared" si="32"/>
        <v>3.0223868034871783E-35</v>
      </c>
      <c r="Y93" s="4" t="e">
        <f t="shared" si="33"/>
        <v>#DIV/0!</v>
      </c>
      <c r="Z93">
        <f t="shared" si="25"/>
        <v>-2.5522558799747676E-104</v>
      </c>
      <c r="AA93">
        <f t="shared" si="26"/>
        <v>6.799066540626978E-42</v>
      </c>
      <c r="AB93">
        <f t="shared" si="27"/>
        <v>3.0223868034871783E-35</v>
      </c>
      <c r="AC93" s="4" t="e">
        <f t="shared" si="28"/>
        <v>#DIV/0!</v>
      </c>
    </row>
    <row r="94" spans="1:29" ht="15" thickBot="1">
      <c r="A94">
        <f t="shared" si="29"/>
        <v>90</v>
      </c>
      <c r="B94" s="3">
        <f>+COUNTIF(desglose!F:F,'pruebas de bondad de ajuste'!$A94)</f>
        <v>0</v>
      </c>
      <c r="C94">
        <f>+COUNTIF(desglose!G:G,'pruebas de bondad de ajuste'!$A94)</f>
        <v>0</v>
      </c>
      <c r="D94" s="6">
        <f>+COUNTIF(desglose!Q:Q,'pruebas de bondad de ajuste'!$A94)/'estadísticos descriptivos'!D$2</f>
        <v>0</v>
      </c>
      <c r="E94" s="7">
        <f>+COUNTIF(desglose!R:R,'pruebas de bondad de ajuste'!$A94)/'estadísticos descriptivos'!E$2</f>
        <v>0</v>
      </c>
      <c r="F94" s="3">
        <f>+_xlfn.POISSON.DIST($A94,'estadísticos descriptivos'!B$6,0)*'estadísticos descriptivos'!B$2</f>
        <v>5.7541667532263208E-102</v>
      </c>
      <c r="G94">
        <f>+_xlfn.POISSON.DIST($A94,'estadísticos descriptivos'!C$6,0)*'estadísticos descriptivos'!C$2</f>
        <v>3.8325231125716896E-150</v>
      </c>
      <c r="H94">
        <f>+_xlfn.POISSON.DIST($A94,'estadísticos descriptivos'!D$6,0)*'estadísticos descriptivos'!D$2</f>
        <v>1.8737562464195998E-106</v>
      </c>
      <c r="I94">
        <f>+_xlfn.POISSON.DIST($A94,'estadísticos descriptivos'!E$6,0)*'estadísticos descriptivos'!E$2</f>
        <v>1.7452990885326217E-161</v>
      </c>
      <c r="J94">
        <f t="shared" si="17"/>
        <v>5.7541667532263208E-102</v>
      </c>
      <c r="K94">
        <f t="shared" si="18"/>
        <v>3.8325231125716896E-150</v>
      </c>
      <c r="L94">
        <f t="shared" si="19"/>
        <v>1.8737562464195998E-106</v>
      </c>
      <c r="M94" s="4">
        <f t="shared" si="20"/>
        <v>1.755118663810884E-161</v>
      </c>
      <c r="N94">
        <f>BINOMDIST($A94,90,'estadísticos descriptivos'!B$6/90,0)*'estadísticos descriptivos'!B$2</f>
        <v>1.4307680941355787E-138</v>
      </c>
      <c r="O94">
        <f>BINOMDIST($A94,90,'estadísticos descriptivos'!C$6/90,0)*'estadísticos descriptivos'!C$2</f>
        <v>1.5468395061014539E-187</v>
      </c>
      <c r="P94">
        <f>BINOMDIST($A94,90,'estadísticos descriptivos'!D$6/90,0)*'estadísticos descriptivos'!D$2</f>
        <v>3.5469571960421812E-143</v>
      </c>
      <c r="Q94">
        <f>BINOMDIST($A94,90,'estadísticos descriptivos'!E$6/90,0)*'estadísticos descriptivos'!E$2</f>
        <v>5.873104138496806E-199</v>
      </c>
      <c r="R94" s="5">
        <f t="shared" si="21"/>
        <v>1.4307680941355787E-138</v>
      </c>
      <c r="S94" s="6">
        <f t="shared" si="22"/>
        <v>0</v>
      </c>
      <c r="T94" s="6">
        <f t="shared" si="23"/>
        <v>3.5469571960421812E-143</v>
      </c>
      <c r="U94" s="6">
        <f t="shared" si="24"/>
        <v>0</v>
      </c>
      <c r="V94" s="3">
        <f t="shared" si="30"/>
        <v>2.4370566869282465E-105</v>
      </c>
      <c r="W94">
        <f t="shared" si="31"/>
        <v>2.2308688595682523E-42</v>
      </c>
      <c r="X94">
        <f t="shared" si="32"/>
        <v>1.1191407209945248E-35</v>
      </c>
      <c r="Y94" s="4" t="e">
        <f t="shared" si="33"/>
        <v>#DIV/0!</v>
      </c>
      <c r="Z94" s="6">
        <f t="shared" si="25"/>
        <v>2.4370566869282465E-105</v>
      </c>
      <c r="AA94" s="6">
        <f t="shared" si="26"/>
        <v>2.2308688595682523E-42</v>
      </c>
      <c r="AB94" s="6">
        <f t="shared" si="27"/>
        <v>1.1191407209945248E-35</v>
      </c>
      <c r="AC94" s="7" t="e">
        <f t="shared" si="28"/>
        <v>#DIV/0!</v>
      </c>
    </row>
  </sheetData>
  <mergeCells count="21">
    <mergeCell ref="V1:Y1"/>
    <mergeCell ref="Z1:AC1"/>
    <mergeCell ref="V2:W2"/>
    <mergeCell ref="X2:Y2"/>
    <mergeCell ref="Z2:AA2"/>
    <mergeCell ref="AB2:AC2"/>
    <mergeCell ref="R1:U1"/>
    <mergeCell ref="N2:O2"/>
    <mergeCell ref="P2:Q2"/>
    <mergeCell ref="R2:S2"/>
    <mergeCell ref="T2:U2"/>
    <mergeCell ref="B2:C2"/>
    <mergeCell ref="D2:E2"/>
    <mergeCell ref="F2:G2"/>
    <mergeCell ref="H2:I2"/>
    <mergeCell ref="B1:E1"/>
    <mergeCell ref="J2:K2"/>
    <mergeCell ref="L2:M2"/>
    <mergeCell ref="F1:I1"/>
    <mergeCell ref="J1:M1"/>
    <mergeCell ref="N1:Q1"/>
  </mergeCells>
  <conditionalFormatting sqref="J3:M3">
    <cfRule type="cellIs" dxfId="5" priority="5" operator="equal">
      <formula>"no rechazar"</formula>
    </cfRule>
    <cfRule type="cellIs" dxfId="4" priority="6" operator="equal">
      <formula>"rechazar"</formula>
    </cfRule>
  </conditionalFormatting>
  <conditionalFormatting sqref="R3:U3">
    <cfRule type="cellIs" dxfId="3" priority="11" operator="equal">
      <formula>"no rechazar"</formula>
    </cfRule>
    <cfRule type="cellIs" dxfId="2" priority="12" operator="equal">
      <formula>"rechazar"</formula>
    </cfRule>
  </conditionalFormatting>
  <conditionalFormatting sqref="Z3:AC3">
    <cfRule type="cellIs" dxfId="1" priority="1" operator="equal">
      <formula>"no rechazar"</formula>
    </cfRule>
    <cfRule type="cellIs" dxfId="0" priority="2" operator="equal">
      <formula>"rechazar"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9F3382-C1CE-45CF-A63E-3C464B81335D}">
  <dimension ref="A1:S93"/>
  <sheetViews>
    <sheetView tabSelected="1" workbookViewId="0"/>
  </sheetViews>
  <sheetFormatPr baseColWidth="10" defaultColWidth="11.375" defaultRowHeight="14.25"/>
  <cols>
    <col min="2" max="2" width="12" bestFit="1" customWidth="1"/>
  </cols>
  <sheetData>
    <row r="1" spans="1:19">
      <c r="B1" t="s">
        <v>38</v>
      </c>
      <c r="C1" t="s">
        <v>39</v>
      </c>
      <c r="D1" t="s">
        <v>40</v>
      </c>
      <c r="E1" t="s">
        <v>41</v>
      </c>
      <c r="O1" t="s">
        <v>94</v>
      </c>
      <c r="P1" t="s">
        <v>95</v>
      </c>
      <c r="Q1" t="s">
        <v>96</v>
      </c>
      <c r="R1" t="s">
        <v>97</v>
      </c>
      <c r="S1" t="s">
        <v>56</v>
      </c>
    </row>
    <row r="2" spans="1:19">
      <c r="A2" t="s">
        <v>66</v>
      </c>
      <c r="B2">
        <f>+IF('estadísticos descriptivos'!B6&lt;'estadísticos descriptivos'!B7,1,0)</f>
        <v>0</v>
      </c>
      <c r="C2">
        <f>+IF('estadísticos descriptivos'!C6&lt;'estadísticos descriptivos'!C7,1,0)</f>
        <v>1</v>
      </c>
      <c r="D2">
        <f>+IF('estadísticos descriptivos'!D6&lt;'estadísticos descriptivos'!D7,1,0)</f>
        <v>1</v>
      </c>
      <c r="E2">
        <f>+IF('estadísticos descriptivos'!E6&lt;'estadísticos descriptivos'!E7,1,0)</f>
        <v>0</v>
      </c>
      <c r="H2" t="s">
        <v>56</v>
      </c>
      <c r="I2" t="s">
        <v>94</v>
      </c>
      <c r="J2" t="s">
        <v>95</v>
      </c>
      <c r="K2" t="s">
        <v>96</v>
      </c>
      <c r="L2" t="s">
        <v>97</v>
      </c>
      <c r="N2" t="s">
        <v>56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67</v>
      </c>
      <c r="B3">
        <f>1-B2</f>
        <v>1</v>
      </c>
      <c r="C3">
        <f>1-C2</f>
        <v>0</v>
      </c>
      <c r="D3">
        <f>1-D2</f>
        <v>0</v>
      </c>
      <c r="E3">
        <f>1-E2</f>
        <v>1</v>
      </c>
      <c r="H3">
        <v>0</v>
      </c>
      <c r="I3">
        <f>+IF(B$8="binomial",_xlfn.BINOM.DIST($H3,B$9,B$10,0),IF(B$8="Binomial negativa",(B$10/(1+B$10))^B$9,_xlfn.POISSON.DIST($H3,B$9,0)))</f>
        <v>7.5611694268834129E-2</v>
      </c>
      <c r="J3">
        <f>+IF(C$8="binomial",_xlfn.BINOM.DIST($H3,C$9,C$10,0),IF(C$8="Binomial negativa",(C$10/(1+C$10))^C$9,_xlfn.POISSON.DIST($H3,C$9,0)))</f>
        <v>0.55262817465606295</v>
      </c>
      <c r="K3">
        <f>+IF(D$8="binomial",_xlfn.BINOM.DIST($H3,D$9,D$10,0),IF(D$8="Binomial negativa",(D$10/(1+D$10))^D$9,_xlfn.POISSON.DIST($H3,D$9,0)))</f>
        <v>0.16432393306255783</v>
      </c>
      <c r="L3">
        <f>+IF(E$8="binomial",_xlfn.BINOM.DIST($H3,E$9,E$10,0),IF(E$8="Binomial negativa",(E$10/(1+E$10))^E$9,_xlfn.POISSON.DIST($H3,E$9,0)))</f>
        <v>0.5795782787848095</v>
      </c>
      <c r="N3">
        <v>0</v>
      </c>
      <c r="O3">
        <f>+I3</f>
        <v>7.5611694268834129E-2</v>
      </c>
      <c r="P3">
        <f>+J3</f>
        <v>0.55262817465606295</v>
      </c>
      <c r="Q3">
        <f>+K3</f>
        <v>0.16432393306255783</v>
      </c>
      <c r="R3">
        <f>+L3</f>
        <v>0.5795782787848095</v>
      </c>
      <c r="S3">
        <f>1+S2</f>
        <v>1</v>
      </c>
    </row>
    <row r="4" spans="1:19">
      <c r="A4" t="s">
        <v>48</v>
      </c>
      <c r="B4" s="13">
        <f>+'estadísticos descriptivos'!B8</f>
        <v>0.12846347607052888</v>
      </c>
      <c r="C4" s="13">
        <f>+'estadísticos descriptivos'!C8</f>
        <v>0.484375</v>
      </c>
      <c r="D4" s="13">
        <f>+'estadísticos descriptivos'!D8</f>
        <v>0.55809523809523809</v>
      </c>
      <c r="E4" s="13">
        <f>+'estadísticos descriptivos'!E8</f>
        <v>0</v>
      </c>
      <c r="H4">
        <f>1+H3</f>
        <v>1</v>
      </c>
      <c r="I4">
        <f t="shared" ref="I4:L19" si="0">+IF(B$8="binomial",_xlfn.BINOM.DIST($H4,B$9,B$10,0),IF(B$8="Binomial negativa",((1+(B$9-1)/$H4)/(1+B$10))*I3,_xlfn.POISSON.DIST($H4,B$9,0)))</f>
        <v>0.1980680556730374</v>
      </c>
      <c r="J4">
        <f t="shared" si="0"/>
        <v>0.27076136404201362</v>
      </c>
      <c r="K4">
        <f t="shared" si="0"/>
        <v>0.23969233401267745</v>
      </c>
      <c r="L4">
        <f t="shared" si="0"/>
        <v>0.31613360660989603</v>
      </c>
      <c r="N4">
        <f>1+N3</f>
        <v>1</v>
      </c>
      <c r="O4">
        <f t="shared" ref="O4:R19" si="1">+O3+I4</f>
        <v>0.2736797499418715</v>
      </c>
      <c r="P4">
        <f t="shared" si="1"/>
        <v>0.82338953869807652</v>
      </c>
      <c r="Q4">
        <f t="shared" si="1"/>
        <v>0.4040162670752353</v>
      </c>
      <c r="R4">
        <f t="shared" si="1"/>
        <v>0.89571188539470548</v>
      </c>
      <c r="S4">
        <f t="shared" ref="S4:S67" si="2">1+S3</f>
        <v>2</v>
      </c>
    </row>
    <row r="5" spans="1:19">
      <c r="A5" t="s">
        <v>68</v>
      </c>
      <c r="B5">
        <f>+IF(AND(B4&lt;=10%,'pruebas de bondad de ajuste'!J3="no rechazar"),1,0)</f>
        <v>0</v>
      </c>
      <c r="C5">
        <f>+IF(AND(C4&lt;=10%,'pruebas de bondad de ajuste'!K3="no rechazar"),1,0)</f>
        <v>0</v>
      </c>
      <c r="D5">
        <f>+IF(AND(D4&lt;=10%,'pruebas de bondad de ajuste'!L3="no rechazar"),1,0)</f>
        <v>0</v>
      </c>
      <c r="E5">
        <f>+IF(AND(E4&lt;=10%,'pruebas de bondad de ajuste'!M3="no rechazar"),1,0)</f>
        <v>1</v>
      </c>
      <c r="F5" t="s">
        <v>68</v>
      </c>
      <c r="H5">
        <f>1+H4</f>
        <v>2</v>
      </c>
      <c r="I5">
        <f t="shared" si="0"/>
        <v>0.25654136940603378</v>
      </c>
      <c r="J5">
        <f t="shared" si="0"/>
        <v>0.11050691077886966</v>
      </c>
      <c r="K5">
        <f t="shared" si="0"/>
        <v>0.21774229142249674</v>
      </c>
      <c r="L5">
        <f t="shared" si="0"/>
        <v>8.6218256348153471E-2</v>
      </c>
      <c r="N5">
        <f t="shared" ref="N5:N68" si="3">1+N4</f>
        <v>2</v>
      </c>
      <c r="O5">
        <f t="shared" si="1"/>
        <v>0.53022111934790528</v>
      </c>
      <c r="P5">
        <f t="shared" si="1"/>
        <v>0.93389644947694617</v>
      </c>
      <c r="Q5">
        <f t="shared" si="1"/>
        <v>0.62175855849773209</v>
      </c>
      <c r="R5">
        <f t="shared" si="1"/>
        <v>0.98193014174285898</v>
      </c>
      <c r="S5">
        <f t="shared" si="2"/>
        <v>3</v>
      </c>
    </row>
    <row r="6" spans="1:19">
      <c r="A6" t="s">
        <v>69</v>
      </c>
      <c r="B6">
        <f>+IF(AND(B3=1,'pruebas de bondad de ajuste'!R3="no rechazar"),1,0)</f>
        <v>1</v>
      </c>
      <c r="C6">
        <f>+IF(AND(C3=1,'pruebas de bondad de ajuste'!S3="no rechazar"),1,0)</f>
        <v>0</v>
      </c>
      <c r="D6">
        <f>+IF(AND(D3=1,'pruebas de bondad de ajuste'!T3="no rechazar"),1,0)</f>
        <v>0</v>
      </c>
      <c r="E6">
        <f>+IF(AND(E3=1,'pruebas de bondad de ajuste'!U3="no rechazar"),1,0)</f>
        <v>1</v>
      </c>
      <c r="F6" t="s">
        <v>69</v>
      </c>
      <c r="H6">
        <f t="shared" ref="H6:H69" si="4">1+H5</f>
        <v>3</v>
      </c>
      <c r="I6">
        <f t="shared" si="0"/>
        <v>0.21902908323508921</v>
      </c>
      <c r="J6">
        <f t="shared" si="0"/>
        <v>4.2087799511952274E-2</v>
      </c>
      <c r="K6">
        <f t="shared" si="0"/>
        <v>0.1578659844939499</v>
      </c>
      <c r="L6">
        <f t="shared" si="0"/>
        <v>1.5676046608755177E-2</v>
      </c>
      <c r="N6">
        <f t="shared" si="3"/>
        <v>3</v>
      </c>
      <c r="O6">
        <f t="shared" si="1"/>
        <v>0.74925020258299446</v>
      </c>
      <c r="P6">
        <f t="shared" si="1"/>
        <v>0.97598424898889846</v>
      </c>
      <c r="Q6">
        <f t="shared" si="1"/>
        <v>0.77962454299168193</v>
      </c>
      <c r="R6">
        <f t="shared" si="1"/>
        <v>0.99760618835161419</v>
      </c>
      <c r="S6">
        <f t="shared" si="2"/>
        <v>4</v>
      </c>
    </row>
    <row r="7" spans="1:19">
      <c r="A7" t="s">
        <v>70</v>
      </c>
      <c r="B7">
        <f>+IF(AND(B2=1,'pruebas de bondad de ajuste'!Z3="no rechazar"),1,0)</f>
        <v>0</v>
      </c>
      <c r="C7">
        <f>+IF(AND(C2=1,'pruebas de bondad de ajuste'!AA3="no rechazar"),1,0)</f>
        <v>1</v>
      </c>
      <c r="D7">
        <f>+IF(AND(D2=1,'pruebas de bondad de ajuste'!AB3="no rechazar"),1,0)</f>
        <v>1</v>
      </c>
      <c r="E7" t="e">
        <f>+IF(AND(E2=1,'pruebas de bondad de ajuste'!AC3="no rechazar"),1,0)</f>
        <v>#DIV/0!</v>
      </c>
      <c r="F7" t="s">
        <v>70</v>
      </c>
      <c r="H7">
        <f t="shared" si="4"/>
        <v>4</v>
      </c>
      <c r="I7">
        <f t="shared" si="0"/>
        <v>0.13865770445963549</v>
      </c>
      <c r="J7">
        <f t="shared" si="0"/>
        <v>1.5455687141350897E-2</v>
      </c>
      <c r="K7">
        <f t="shared" si="0"/>
        <v>9.9977696447963282E-2</v>
      </c>
      <c r="L7">
        <f t="shared" si="0"/>
        <v>2.1376427193757056E-3</v>
      </c>
      <c r="N7">
        <f t="shared" si="3"/>
        <v>4</v>
      </c>
      <c r="O7">
        <f t="shared" si="1"/>
        <v>0.8879079070426299</v>
      </c>
      <c r="P7">
        <f t="shared" si="1"/>
        <v>0.99143993613024939</v>
      </c>
      <c r="Q7">
        <f t="shared" si="1"/>
        <v>0.87960223943964522</v>
      </c>
      <c r="R7">
        <f t="shared" si="1"/>
        <v>0.99974383107098985</v>
      </c>
      <c r="S7">
        <f t="shared" si="2"/>
        <v>5</v>
      </c>
    </row>
    <row r="8" spans="1:19">
      <c r="A8" t="s">
        <v>71</v>
      </c>
      <c r="B8" t="str">
        <f>+VLOOKUP(1,B5:$F$7,5,0)</f>
        <v>binomial</v>
      </c>
      <c r="C8" t="str">
        <f>+VLOOKUP(1,C5:$F$7,4,0)</f>
        <v>Binomial negativa</v>
      </c>
      <c r="D8" t="str">
        <f>+VLOOKUP(1,D5:$F$7,3,0)</f>
        <v>Binomial negativa</v>
      </c>
      <c r="E8" t="str">
        <f>+VLOOKUP(1,E5:$F$7,2,0)</f>
        <v>poisson</v>
      </c>
      <c r="H8">
        <f t="shared" si="4"/>
        <v>5</v>
      </c>
      <c r="I8">
        <f t="shared" si="0"/>
        <v>6.9415333126570097E-2</v>
      </c>
      <c r="J8">
        <f t="shared" si="0"/>
        <v>5.5492572396505808E-3</v>
      </c>
      <c r="K8">
        <f t="shared" si="0"/>
        <v>5.7815508523819989E-2</v>
      </c>
      <c r="L8">
        <f t="shared" si="0"/>
        <v>2.331973875682588E-4</v>
      </c>
      <c r="N8">
        <f t="shared" si="3"/>
        <v>5</v>
      </c>
      <c r="O8">
        <f t="shared" si="1"/>
        <v>0.95732324016920001</v>
      </c>
      <c r="P8">
        <f t="shared" si="1"/>
        <v>0.9969891933699</v>
      </c>
      <c r="Q8">
        <f t="shared" si="1"/>
        <v>0.93741774796346522</v>
      </c>
      <c r="R8">
        <f t="shared" si="1"/>
        <v>0.99997702845855807</v>
      </c>
      <c r="S8">
        <f t="shared" si="2"/>
        <v>6</v>
      </c>
    </row>
    <row r="9" spans="1:19">
      <c r="A9" t="s">
        <v>72</v>
      </c>
      <c r="B9">
        <f>+IF(B8="binomial",90,IF('sumario distribuciones elegidas'!B8="poisson",'estadísticos descriptivos'!B6,'pruebas de bondad de ajuste'!AD1))</f>
        <v>90</v>
      </c>
      <c r="C9">
        <f>+IF(C8="binomial",90,IF('sumario distribuciones elegidas'!C8="poisson",'estadísticos descriptivos'!C6,'pruebas de bondad de ajuste'!AE1))</f>
        <v>1.501466275659824</v>
      </c>
      <c r="D9">
        <f>+IF(D8="binomial",90,IF('sumario distribuciones elegidas'!D8="poisson",'estadísticos descriptivos'!D6,'pruebas de bondad de ajuste'!AF1))</f>
        <v>4.0722928948184931</v>
      </c>
      <c r="E9">
        <f>+IF(E8="binomial",90,IF('sumario distribuciones elegidas'!E8="poisson",'estadísticos descriptivos'!E6,'pruebas de bondad de ajuste'!AG1))</f>
        <v>0.54545454545454541</v>
      </c>
      <c r="H9">
        <f t="shared" si="4"/>
        <v>6</v>
      </c>
      <c r="I9">
        <f t="shared" si="0"/>
        <v>2.8622400007144309E-2</v>
      </c>
      <c r="J9">
        <f t="shared" si="0"/>
        <v>1.9621536364123342E-3</v>
      </c>
      <c r="K9">
        <f t="shared" si="0"/>
        <v>3.1312985649338675E-2</v>
      </c>
      <c r="L9">
        <f t="shared" si="0"/>
        <v>2.1199762506205344E-5</v>
      </c>
      <c r="N9">
        <f t="shared" si="3"/>
        <v>6</v>
      </c>
      <c r="O9">
        <f t="shared" si="1"/>
        <v>0.98594564017634434</v>
      </c>
      <c r="P9">
        <f t="shared" si="1"/>
        <v>0.99895134700631238</v>
      </c>
      <c r="Q9">
        <f t="shared" si="1"/>
        <v>0.96873073361280393</v>
      </c>
      <c r="R9">
        <f t="shared" si="1"/>
        <v>0.99999822822106432</v>
      </c>
      <c r="S9">
        <f t="shared" si="2"/>
        <v>7</v>
      </c>
    </row>
    <row r="10" spans="1:19">
      <c r="A10" t="s">
        <v>73</v>
      </c>
      <c r="B10">
        <f>+IF(B8="binomial",'estadísticos descriptivos'!B6/90,IF('sumario distribuciones elegidas'!B8="poisson",0,'pruebas de bondad de ajuste'!AD2))</f>
        <v>2.8282828282828281E-2</v>
      </c>
      <c r="C10">
        <f>+IF(C8="binomial",'estadísticos descriptivos'!C6/90,IF('sumario distribuciones elegidas'!C8="poisson",0,'pruebas de bondad de ajuste'!AE2))</f>
        <v>2.064516129032258</v>
      </c>
      <c r="D10">
        <f>+IF(D8="binomial",'estadísticos descriptivos'!D6/90,IF('sumario distribuciones elegidas'!D8="poisson",0,'pruebas de bondad de ajuste'!AF2))</f>
        <v>1.7918088737201368</v>
      </c>
      <c r="E10">
        <f>+IF(E8="binomial",'estadísticos descriptivos'!E6/90,IF('sumario distribuciones elegidas'!E8="poisson",0,'pruebas de bondad de ajuste'!AG2))</f>
        <v>0</v>
      </c>
      <c r="H10">
        <f t="shared" si="4"/>
        <v>7</v>
      </c>
      <c r="I10">
        <f t="shared" si="0"/>
        <v>9.9970128923082009E-3</v>
      </c>
      <c r="J10">
        <f t="shared" si="0"/>
        <v>6.8615023950003434E-4</v>
      </c>
      <c r="K10">
        <f t="shared" si="0"/>
        <v>1.6138720559084264E-2</v>
      </c>
      <c r="L10">
        <f t="shared" si="0"/>
        <v>1.6519295459380805E-6</v>
      </c>
      <c r="N10">
        <f t="shared" si="3"/>
        <v>7</v>
      </c>
      <c r="O10">
        <f t="shared" si="1"/>
        <v>0.99594265306865259</v>
      </c>
      <c r="P10">
        <f t="shared" si="1"/>
        <v>0.99963749724581241</v>
      </c>
      <c r="Q10">
        <f t="shared" si="1"/>
        <v>0.9848694541718882</v>
      </c>
      <c r="R10">
        <f t="shared" si="1"/>
        <v>0.99999988015061025</v>
      </c>
      <c r="S10">
        <f t="shared" si="2"/>
        <v>8</v>
      </c>
    </row>
    <row r="11" spans="1:19">
      <c r="H11">
        <f t="shared" si="4"/>
        <v>8</v>
      </c>
      <c r="I11">
        <f t="shared" si="0"/>
        <v>3.0188484877500289E-3</v>
      </c>
      <c r="J11">
        <f t="shared" si="0"/>
        <v>2.3793654836251193E-4</v>
      </c>
      <c r="K11">
        <f t="shared" si="0"/>
        <v>8.0007554716531593E-3</v>
      </c>
      <c r="L11">
        <f t="shared" si="0"/>
        <v>1.1263155995032327E-7</v>
      </c>
      <c r="N11">
        <f t="shared" si="3"/>
        <v>8</v>
      </c>
      <c r="O11">
        <f t="shared" si="1"/>
        <v>0.99896150155640262</v>
      </c>
      <c r="P11">
        <f t="shared" si="1"/>
        <v>0.99987543379417487</v>
      </c>
      <c r="Q11">
        <f t="shared" si="1"/>
        <v>0.99287020964354133</v>
      </c>
      <c r="R11">
        <f t="shared" si="1"/>
        <v>0.99999999278217022</v>
      </c>
      <c r="S11">
        <f t="shared" si="2"/>
        <v>9</v>
      </c>
    </row>
    <row r="12" spans="1:19">
      <c r="H12">
        <f t="shared" si="4"/>
        <v>9</v>
      </c>
      <c r="I12">
        <f t="shared" si="0"/>
        <v>8.0056319333264841E-4</v>
      </c>
      <c r="J12">
        <f t="shared" si="0"/>
        <v>8.19685716846931E-5</v>
      </c>
      <c r="K12">
        <f t="shared" si="0"/>
        <v>3.8440813346984856E-3</v>
      </c>
      <c r="L12">
        <f t="shared" si="0"/>
        <v>6.82615514850445E-9</v>
      </c>
      <c r="N12">
        <f t="shared" si="3"/>
        <v>9</v>
      </c>
      <c r="O12">
        <f t="shared" si="1"/>
        <v>0.99976206474973528</v>
      </c>
      <c r="P12">
        <f t="shared" si="1"/>
        <v>0.99995740236585962</v>
      </c>
      <c r="Q12">
        <f t="shared" si="1"/>
        <v>0.99671429097823983</v>
      </c>
      <c r="R12">
        <f t="shared" si="1"/>
        <v>0.99999999960832542</v>
      </c>
      <c r="S12">
        <f t="shared" si="2"/>
        <v>10</v>
      </c>
    </row>
    <row r="13" spans="1:19">
      <c r="H13">
        <f t="shared" si="4"/>
        <v>10</v>
      </c>
      <c r="I13">
        <f t="shared" si="0"/>
        <v>1.8873984641148116E-4</v>
      </c>
      <c r="J13">
        <f t="shared" si="0"/>
        <v>2.8088943081615879E-5</v>
      </c>
      <c r="K13">
        <f t="shared" si="0"/>
        <v>1.7999425960604201E-3</v>
      </c>
      <c r="L13">
        <f t="shared" si="0"/>
        <v>3.7233573537296938E-10</v>
      </c>
      <c r="N13">
        <f t="shared" si="3"/>
        <v>10</v>
      </c>
      <c r="O13">
        <f t="shared" si="1"/>
        <v>0.99995080459614671</v>
      </c>
      <c r="P13">
        <f t="shared" si="1"/>
        <v>0.99998549130894121</v>
      </c>
      <c r="Q13">
        <f t="shared" si="1"/>
        <v>0.99851423357430025</v>
      </c>
      <c r="R13">
        <f t="shared" si="1"/>
        <v>0.99999999998066114</v>
      </c>
      <c r="S13">
        <f t="shared" si="2"/>
        <v>11</v>
      </c>
    </row>
    <row r="14" spans="1:19">
      <c r="H14">
        <f t="shared" si="4"/>
        <v>11</v>
      </c>
      <c r="I14">
        <f t="shared" si="0"/>
        <v>3.9952490640872961E-5</v>
      </c>
      <c r="J14">
        <f t="shared" si="0"/>
        <v>9.583717683001086E-6</v>
      </c>
      <c r="K14">
        <f t="shared" si="0"/>
        <v>8.2479335250581294E-4</v>
      </c>
      <c r="L14">
        <f t="shared" si="0"/>
        <v>1.8462929026758783E-11</v>
      </c>
      <c r="N14">
        <f t="shared" si="3"/>
        <v>11</v>
      </c>
      <c r="O14">
        <f t="shared" si="1"/>
        <v>0.99999075708678764</v>
      </c>
      <c r="P14">
        <f t="shared" si="1"/>
        <v>0.99999507502662421</v>
      </c>
      <c r="Q14">
        <f t="shared" si="1"/>
        <v>0.9993390269268061</v>
      </c>
      <c r="R14">
        <f t="shared" si="1"/>
        <v>0.99999999999912403</v>
      </c>
      <c r="S14">
        <f t="shared" si="2"/>
        <v>12</v>
      </c>
    </row>
    <row r="15" spans="1:19">
      <c r="H15">
        <f t="shared" si="4"/>
        <v>12</v>
      </c>
      <c r="I15">
        <f t="shared" si="0"/>
        <v>7.6554841733897087E-6</v>
      </c>
      <c r="J15">
        <f t="shared" si="0"/>
        <v>3.2580054611350579E-6</v>
      </c>
      <c r="K15">
        <f t="shared" si="0"/>
        <v>3.7107145549036249E-4</v>
      </c>
      <c r="L15">
        <f t="shared" si="0"/>
        <v>8.392240466708587E-13</v>
      </c>
      <c r="N15">
        <f t="shared" si="3"/>
        <v>12</v>
      </c>
      <c r="O15">
        <f t="shared" si="1"/>
        <v>0.999998412570961</v>
      </c>
      <c r="P15">
        <f t="shared" si="1"/>
        <v>0.9999983330320853</v>
      </c>
      <c r="Q15">
        <f t="shared" si="1"/>
        <v>0.99971009838229641</v>
      </c>
      <c r="R15">
        <f t="shared" si="1"/>
        <v>0.99999999999996325</v>
      </c>
      <c r="S15">
        <f t="shared" si="2"/>
        <v>13</v>
      </c>
    </row>
    <row r="16" spans="1:19">
      <c r="H16">
        <f t="shared" si="4"/>
        <v>13</v>
      </c>
      <c r="I16">
        <f t="shared" si="0"/>
        <v>1.3369244710285639E-6</v>
      </c>
      <c r="J16">
        <f t="shared" si="0"/>
        <v>1.1041484831112113E-6</v>
      </c>
      <c r="K16">
        <f t="shared" si="0"/>
        <v>1.6432602514965947E-4</v>
      </c>
      <c r="L16">
        <f t="shared" si="0"/>
        <v>3.5212197762413653E-14</v>
      </c>
      <c r="N16">
        <f t="shared" si="3"/>
        <v>13</v>
      </c>
      <c r="O16">
        <f t="shared" si="1"/>
        <v>0.99999974949543202</v>
      </c>
      <c r="P16">
        <f t="shared" si="1"/>
        <v>0.99999943718056838</v>
      </c>
      <c r="Q16">
        <f t="shared" si="1"/>
        <v>0.99987442440744612</v>
      </c>
      <c r="R16">
        <f t="shared" si="1"/>
        <v>0.99999999999999845</v>
      </c>
      <c r="S16">
        <f t="shared" si="2"/>
        <v>14</v>
      </c>
    </row>
    <row r="17" spans="8:19">
      <c r="H17">
        <f t="shared" si="4"/>
        <v>14</v>
      </c>
      <c r="I17">
        <f t="shared" si="0"/>
        <v>2.1401909411475873E-7</v>
      </c>
      <c r="J17">
        <f t="shared" si="0"/>
        <v>3.732067155833862E-7</v>
      </c>
      <c r="K17">
        <f t="shared" si="0"/>
        <v>7.1776864762287344E-5</v>
      </c>
      <c r="L17">
        <f t="shared" si="0"/>
        <v>1.3719038089252009E-15</v>
      </c>
      <c r="N17">
        <f t="shared" si="3"/>
        <v>14</v>
      </c>
      <c r="O17">
        <f t="shared" si="1"/>
        <v>0.99999996351452614</v>
      </c>
      <c r="P17">
        <f t="shared" si="1"/>
        <v>0.99999981038728392</v>
      </c>
      <c r="Q17">
        <f t="shared" si="1"/>
        <v>0.99994620127220846</v>
      </c>
      <c r="R17">
        <f t="shared" si="1"/>
        <v>0.99999999999999978</v>
      </c>
      <c r="S17">
        <f t="shared" si="2"/>
        <v>15</v>
      </c>
    </row>
    <row r="18" spans="8:19">
      <c r="H18">
        <f t="shared" si="4"/>
        <v>15</v>
      </c>
      <c r="I18">
        <f t="shared" si="0"/>
        <v>3.1561512978254032E-8</v>
      </c>
      <c r="J18">
        <f t="shared" si="0"/>
        <v>1.258545900206558E-7</v>
      </c>
      <c r="K18">
        <f t="shared" si="0"/>
        <v>3.0975676385929844E-5</v>
      </c>
      <c r="L18">
        <f t="shared" si="0"/>
        <v>4.9887411233643708E-17</v>
      </c>
      <c r="N18">
        <f t="shared" si="3"/>
        <v>15</v>
      </c>
      <c r="O18">
        <f t="shared" si="1"/>
        <v>0.99999999507603909</v>
      </c>
      <c r="P18">
        <f t="shared" si="1"/>
        <v>0.99999993624187389</v>
      </c>
      <c r="Q18">
        <f t="shared" si="1"/>
        <v>0.99997717694859434</v>
      </c>
      <c r="R18">
        <f t="shared" si="1"/>
        <v>0.99999999999999978</v>
      </c>
      <c r="S18">
        <f t="shared" si="2"/>
        <v>16</v>
      </c>
    </row>
    <row r="19" spans="8:19">
      <c r="H19">
        <f t="shared" si="4"/>
        <v>16</v>
      </c>
      <c r="I19">
        <f t="shared" si="0"/>
        <v>4.3060796033220892E-9</v>
      </c>
      <c r="J19">
        <f t="shared" si="0"/>
        <v>4.23554891175975E-8</v>
      </c>
      <c r="K19">
        <f t="shared" si="0"/>
        <v>1.3225680897443234E-5</v>
      </c>
      <c r="L19">
        <f t="shared" si="0"/>
        <v>1.7007072011469429E-18</v>
      </c>
      <c r="N19">
        <f t="shared" si="3"/>
        <v>16</v>
      </c>
      <c r="O19">
        <f t="shared" si="1"/>
        <v>0.9999999993821187</v>
      </c>
      <c r="P19">
        <f t="shared" si="1"/>
        <v>0.999999978597363</v>
      </c>
      <c r="Q19">
        <f t="shared" si="1"/>
        <v>0.99999040262949179</v>
      </c>
      <c r="R19">
        <f t="shared" si="1"/>
        <v>0.99999999999999978</v>
      </c>
      <c r="S19">
        <f t="shared" si="2"/>
        <v>17</v>
      </c>
    </row>
    <row r="20" spans="8:19">
      <c r="H20">
        <f t="shared" si="4"/>
        <v>17</v>
      </c>
      <c r="I20">
        <f t="shared" ref="I20:L35" si="5">+IF(B$8="binomial",_xlfn.BINOM.DIST($H20,B$9,B$10,0),IF(B$8="Binomial negativa",((1+(B$9-1)/$H20)/(1+B$10))*I19,_xlfn.POISSON.DIST($H20,B$9,0)))</f>
        <v>5.455666465747408E-10</v>
      </c>
      <c r="J20">
        <f t="shared" si="5"/>
        <v>1.4228964765202472E-8</v>
      </c>
      <c r="K20">
        <f t="shared" si="5"/>
        <v>5.5934585090693034E-6</v>
      </c>
      <c r="L20">
        <f t="shared" si="5"/>
        <v>5.4568145491345771E-20</v>
      </c>
      <c r="N20">
        <f t="shared" si="3"/>
        <v>17</v>
      </c>
      <c r="O20">
        <f t="shared" ref="O20:R35" si="6">+O19+I20</f>
        <v>0.99999999992768529</v>
      </c>
      <c r="P20">
        <f t="shared" si="6"/>
        <v>0.99999999282632779</v>
      </c>
      <c r="Q20">
        <f t="shared" si="6"/>
        <v>0.99999599608800083</v>
      </c>
      <c r="R20">
        <f t="shared" si="6"/>
        <v>0.99999999999999978</v>
      </c>
      <c r="S20">
        <f t="shared" si="2"/>
        <v>18</v>
      </c>
    </row>
    <row r="21" spans="8:19">
      <c r="H21">
        <f t="shared" si="4"/>
        <v>18</v>
      </c>
      <c r="I21">
        <f t="shared" si="5"/>
        <v>6.4399296927626175E-11</v>
      </c>
      <c r="J21">
        <f t="shared" si="5"/>
        <v>4.7724900958884851E-9</v>
      </c>
      <c r="K21">
        <f t="shared" si="5"/>
        <v>2.3454923816524089E-6</v>
      </c>
      <c r="L21">
        <f t="shared" si="5"/>
        <v>1.653580166404424E-21</v>
      </c>
      <c r="N21">
        <f t="shared" si="3"/>
        <v>18</v>
      </c>
      <c r="O21">
        <f t="shared" si="6"/>
        <v>0.99999999999208455</v>
      </c>
      <c r="P21">
        <f t="shared" si="6"/>
        <v>0.99999999759881786</v>
      </c>
      <c r="Q21">
        <f t="shared" si="6"/>
        <v>0.99999834158038248</v>
      </c>
      <c r="R21">
        <f t="shared" si="6"/>
        <v>0.99999999999999978</v>
      </c>
      <c r="S21">
        <f t="shared" si="2"/>
        <v>19</v>
      </c>
    </row>
    <row r="22" spans="8:19">
      <c r="H22">
        <f t="shared" si="4"/>
        <v>19</v>
      </c>
      <c r="I22">
        <f t="shared" si="5"/>
        <v>7.1030190724419993E-12</v>
      </c>
      <c r="J22">
        <f t="shared" si="5"/>
        <v>1.5984416589100188E-9</v>
      </c>
      <c r="K22">
        <f t="shared" si="5"/>
        <v>9.7598286483762892E-7</v>
      </c>
      <c r="L22">
        <f t="shared" si="5"/>
        <v>4.7471200949409195E-23</v>
      </c>
      <c r="N22">
        <f t="shared" si="3"/>
        <v>19</v>
      </c>
      <c r="O22">
        <f t="shared" si="6"/>
        <v>0.99999999999918754</v>
      </c>
      <c r="P22">
        <f t="shared" si="6"/>
        <v>0.99999999919725957</v>
      </c>
      <c r="Q22">
        <f t="shared" si="6"/>
        <v>0.99999931756324734</v>
      </c>
      <c r="R22">
        <f t="shared" si="6"/>
        <v>0.99999999999999978</v>
      </c>
      <c r="S22">
        <f t="shared" si="2"/>
        <v>20</v>
      </c>
    </row>
    <row r="23" spans="8:19">
      <c r="H23">
        <f t="shared" si="4"/>
        <v>20</v>
      </c>
      <c r="I23">
        <f t="shared" si="5"/>
        <v>7.3392941351427565E-13</v>
      </c>
      <c r="J23">
        <f t="shared" si="5"/>
        <v>5.3467491088229383E-10</v>
      </c>
      <c r="K23">
        <f t="shared" si="5"/>
        <v>4.0328982993473963E-7</v>
      </c>
      <c r="L23">
        <f t="shared" si="5"/>
        <v>1.2946691168020689E-24</v>
      </c>
      <c r="N23">
        <f t="shared" si="3"/>
        <v>20</v>
      </c>
      <c r="O23">
        <f t="shared" si="6"/>
        <v>0.99999999999992151</v>
      </c>
      <c r="P23">
        <f t="shared" si="6"/>
        <v>0.99999999973193443</v>
      </c>
      <c r="Q23">
        <f t="shared" si="6"/>
        <v>0.99999972085307731</v>
      </c>
      <c r="R23">
        <f t="shared" si="6"/>
        <v>0.99999999999999978</v>
      </c>
      <c r="S23">
        <f t="shared" si="2"/>
        <v>21</v>
      </c>
    </row>
    <row r="24" spans="8:19">
      <c r="H24">
        <f t="shared" si="4"/>
        <v>21</v>
      </c>
      <c r="I24">
        <f t="shared" si="5"/>
        <v>7.1205902905058324E-14</v>
      </c>
      <c r="J24">
        <f t="shared" si="5"/>
        <v>1.7863916366320245E-10</v>
      </c>
      <c r="K24">
        <f t="shared" si="5"/>
        <v>1.6558833950130067E-7</v>
      </c>
      <c r="L24">
        <f t="shared" si="5"/>
        <v>3.3627769267586259E-26</v>
      </c>
      <c r="N24">
        <f t="shared" si="3"/>
        <v>21</v>
      </c>
      <c r="O24">
        <f t="shared" si="6"/>
        <v>0.99999999999999267</v>
      </c>
      <c r="P24">
        <f t="shared" si="6"/>
        <v>0.99999999991057364</v>
      </c>
      <c r="Q24">
        <f t="shared" si="6"/>
        <v>0.9999998864414168</v>
      </c>
      <c r="R24">
        <f t="shared" si="6"/>
        <v>0.99999999999999978</v>
      </c>
      <c r="S24">
        <f t="shared" si="2"/>
        <v>22</v>
      </c>
    </row>
    <row r="25" spans="8:19">
      <c r="H25">
        <f t="shared" si="4"/>
        <v>22</v>
      </c>
      <c r="I25">
        <f t="shared" si="5"/>
        <v>6.5001797586737701E-15</v>
      </c>
      <c r="J25">
        <f t="shared" si="5"/>
        <v>5.9621500773716928E-11</v>
      </c>
      <c r="K25">
        <f t="shared" si="5"/>
        <v>6.7595134971514392E-8</v>
      </c>
      <c r="L25">
        <f t="shared" si="5"/>
        <v>8.3374634547734161E-28</v>
      </c>
      <c r="N25">
        <f t="shared" si="3"/>
        <v>22</v>
      </c>
      <c r="O25">
        <f t="shared" si="6"/>
        <v>0.99999999999999922</v>
      </c>
      <c r="P25">
        <f t="shared" si="6"/>
        <v>0.99999999997019517</v>
      </c>
      <c r="Q25">
        <f t="shared" si="6"/>
        <v>0.99999995403655173</v>
      </c>
      <c r="R25">
        <f t="shared" si="6"/>
        <v>0.99999999999999978</v>
      </c>
      <c r="S25">
        <f t="shared" si="2"/>
        <v>23</v>
      </c>
    </row>
    <row r="26" spans="8:19">
      <c r="H26">
        <f t="shared" si="4"/>
        <v>23</v>
      </c>
      <c r="I26">
        <f t="shared" si="5"/>
        <v>5.5935741934894506E-16</v>
      </c>
      <c r="J26">
        <f t="shared" si="5"/>
        <v>1.9879621685066257E-11</v>
      </c>
      <c r="K26">
        <f t="shared" si="5"/>
        <v>2.744613192685972E-8</v>
      </c>
      <c r="L26">
        <f t="shared" si="5"/>
        <v>1.9772640604205718E-29</v>
      </c>
      <c r="N26">
        <f t="shared" si="3"/>
        <v>23</v>
      </c>
      <c r="O26">
        <f t="shared" si="6"/>
        <v>0.99999999999999978</v>
      </c>
      <c r="P26">
        <f t="shared" si="6"/>
        <v>0.99999999999007483</v>
      </c>
      <c r="Q26">
        <f t="shared" si="6"/>
        <v>0.99999998148268365</v>
      </c>
      <c r="R26">
        <f t="shared" si="6"/>
        <v>0.99999999999999978</v>
      </c>
      <c r="S26">
        <f t="shared" si="2"/>
        <v>24</v>
      </c>
    </row>
    <row r="27" spans="8:19">
      <c r="H27">
        <f t="shared" si="4"/>
        <v>24</v>
      </c>
      <c r="I27">
        <f t="shared" si="5"/>
        <v>4.5450213041347522E-17</v>
      </c>
      <c r="J27">
        <f t="shared" si="5"/>
        <v>6.6225773197260203E-12</v>
      </c>
      <c r="K27">
        <f t="shared" si="5"/>
        <v>1.1089430962187051E-8</v>
      </c>
      <c r="L27">
        <f t="shared" si="5"/>
        <v>4.4937819555013223E-31</v>
      </c>
      <c r="N27">
        <f t="shared" si="3"/>
        <v>24</v>
      </c>
      <c r="O27">
        <f t="shared" si="6"/>
        <v>0.99999999999999978</v>
      </c>
      <c r="P27">
        <f t="shared" si="6"/>
        <v>0.99999999999669742</v>
      </c>
      <c r="Q27">
        <f t="shared" si="6"/>
        <v>0.99999999257211458</v>
      </c>
      <c r="R27">
        <f t="shared" si="6"/>
        <v>0.99999999999999978</v>
      </c>
      <c r="S27">
        <f t="shared" si="2"/>
        <v>25</v>
      </c>
    </row>
    <row r="28" spans="8:19">
      <c r="H28">
        <f t="shared" si="4"/>
        <v>25</v>
      </c>
      <c r="I28">
        <f t="shared" si="5"/>
        <v>3.4923905904536241E-18</v>
      </c>
      <c r="J28">
        <f t="shared" si="5"/>
        <v>2.2043993252569367E-12</v>
      </c>
      <c r="K28">
        <f t="shared" si="5"/>
        <v>4.4602731503258406E-9</v>
      </c>
      <c r="L28">
        <f t="shared" si="5"/>
        <v>9.8046151756392581E-33</v>
      </c>
      <c r="N28">
        <f t="shared" si="3"/>
        <v>25</v>
      </c>
      <c r="O28">
        <f t="shared" si="6"/>
        <v>0.99999999999999978</v>
      </c>
      <c r="P28">
        <f t="shared" si="6"/>
        <v>0.99999999999890177</v>
      </c>
      <c r="Q28">
        <f t="shared" si="6"/>
        <v>0.99999999703238773</v>
      </c>
      <c r="R28">
        <f t="shared" si="6"/>
        <v>0.99999999999999978</v>
      </c>
      <c r="S28">
        <f t="shared" si="2"/>
        <v>26</v>
      </c>
    </row>
    <row r="29" spans="8:19">
      <c r="H29">
        <f t="shared" si="4"/>
        <v>26</v>
      </c>
      <c r="I29">
        <f t="shared" si="5"/>
        <v>2.5412405543841498E-19</v>
      </c>
      <c r="J29">
        <f t="shared" si="5"/>
        <v>7.3320414804368546E-13</v>
      </c>
      <c r="K29">
        <f t="shared" si="5"/>
        <v>1.7864123402872913E-9</v>
      </c>
      <c r="L29">
        <f t="shared" si="5"/>
        <v>2.0569122746096301E-34</v>
      </c>
      <c r="N29">
        <f t="shared" si="3"/>
        <v>26</v>
      </c>
      <c r="O29">
        <f t="shared" si="6"/>
        <v>0.99999999999999978</v>
      </c>
      <c r="P29">
        <f t="shared" si="6"/>
        <v>0.99999999999963496</v>
      </c>
      <c r="Q29">
        <f t="shared" si="6"/>
        <v>0.99999999881880008</v>
      </c>
      <c r="R29">
        <f t="shared" si="6"/>
        <v>0.99999999999999978</v>
      </c>
      <c r="S29">
        <f t="shared" si="2"/>
        <v>27</v>
      </c>
    </row>
    <row r="30" spans="8:19">
      <c r="H30">
        <f t="shared" si="4"/>
        <v>27</v>
      </c>
      <c r="I30">
        <f t="shared" si="5"/>
        <v>1.7532544365351667E-20</v>
      </c>
      <c r="J30">
        <f t="shared" si="5"/>
        <v>2.4369975191755033E-13</v>
      </c>
      <c r="K30">
        <f t="shared" si="5"/>
        <v>7.1268694795413451E-10</v>
      </c>
      <c r="L30">
        <f t="shared" si="5"/>
        <v>4.1553783325447416E-36</v>
      </c>
      <c r="N30">
        <f t="shared" si="3"/>
        <v>27</v>
      </c>
      <c r="O30">
        <f t="shared" si="6"/>
        <v>0.99999999999999978</v>
      </c>
      <c r="P30">
        <f t="shared" si="6"/>
        <v>0.99999999999987865</v>
      </c>
      <c r="Q30">
        <f t="shared" si="6"/>
        <v>0.99999999953148699</v>
      </c>
      <c r="R30">
        <f t="shared" si="6"/>
        <v>0.99999999999999978</v>
      </c>
      <c r="S30">
        <f t="shared" si="2"/>
        <v>28</v>
      </c>
    </row>
    <row r="31" spans="8:19">
      <c r="H31">
        <f t="shared" si="4"/>
        <v>28</v>
      </c>
      <c r="I31">
        <f t="shared" si="5"/>
        <v>1.1481811798515095E-21</v>
      </c>
      <c r="J31">
        <f t="shared" si="5"/>
        <v>8.0947296270904698E-14</v>
      </c>
      <c r="K31">
        <f t="shared" si="5"/>
        <v>2.8328813978429632E-10</v>
      </c>
      <c r="L31">
        <f t="shared" si="5"/>
        <v>8.0948928556065175E-38</v>
      </c>
      <c r="N31">
        <f t="shared" si="3"/>
        <v>28</v>
      </c>
      <c r="O31">
        <f t="shared" si="6"/>
        <v>0.99999999999999978</v>
      </c>
      <c r="P31">
        <f t="shared" si="6"/>
        <v>0.99999999999995959</v>
      </c>
      <c r="Q31">
        <f t="shared" si="6"/>
        <v>0.99999999981477516</v>
      </c>
      <c r="R31">
        <f t="shared" si="6"/>
        <v>0.99999999999999978</v>
      </c>
      <c r="S31">
        <f t="shared" si="2"/>
        <v>29</v>
      </c>
    </row>
    <row r="32" spans="8:19">
      <c r="H32">
        <f t="shared" si="4"/>
        <v>29</v>
      </c>
      <c r="I32">
        <f t="shared" si="5"/>
        <v>7.1447506209126827E-23</v>
      </c>
      <c r="J32">
        <f t="shared" si="5"/>
        <v>2.6871136792123451E-14</v>
      </c>
      <c r="K32">
        <f t="shared" si="5"/>
        <v>1.1222115152548429E-10</v>
      </c>
      <c r="L32">
        <f t="shared" si="5"/>
        <v>1.5225503803648848E-39</v>
      </c>
      <c r="N32">
        <f t="shared" si="3"/>
        <v>29</v>
      </c>
      <c r="O32">
        <f t="shared" si="6"/>
        <v>0.99999999999999978</v>
      </c>
      <c r="P32">
        <f t="shared" si="6"/>
        <v>0.99999999999998646</v>
      </c>
      <c r="Q32">
        <f t="shared" si="6"/>
        <v>0.99999999992699629</v>
      </c>
      <c r="R32">
        <f t="shared" si="6"/>
        <v>0.99999999999999978</v>
      </c>
      <c r="S32">
        <f t="shared" si="2"/>
        <v>30</v>
      </c>
    </row>
    <row r="33" spans="8:19">
      <c r="H33">
        <f t="shared" si="4"/>
        <v>30</v>
      </c>
      <c r="I33">
        <f t="shared" si="5"/>
        <v>4.2284248303945485E-24</v>
      </c>
      <c r="J33">
        <f t="shared" si="5"/>
        <v>8.9150460534250718E-15</v>
      </c>
      <c r="K33">
        <f t="shared" si="5"/>
        <v>4.4313095441225541E-11</v>
      </c>
      <c r="L33">
        <f t="shared" si="5"/>
        <v>2.7682734188452419E-41</v>
      </c>
      <c r="N33">
        <f t="shared" si="3"/>
        <v>30</v>
      </c>
      <c r="O33">
        <f t="shared" si="6"/>
        <v>0.99999999999999978</v>
      </c>
      <c r="P33">
        <f t="shared" si="6"/>
        <v>0.99999999999999534</v>
      </c>
      <c r="Q33">
        <f t="shared" si="6"/>
        <v>0.99999999997130939</v>
      </c>
      <c r="R33">
        <f t="shared" si="6"/>
        <v>0.99999999999999978</v>
      </c>
      <c r="S33">
        <f t="shared" si="2"/>
        <v>31</v>
      </c>
    </row>
    <row r="34" spans="8:19">
      <c r="H34">
        <f t="shared" si="4"/>
        <v>31</v>
      </c>
      <c r="I34">
        <f t="shared" si="5"/>
        <v>2.3820514100539811E-25</v>
      </c>
      <c r="J34">
        <f t="shared" si="5"/>
        <v>2.9561791852413062E-15</v>
      </c>
      <c r="K34">
        <f t="shared" si="5"/>
        <v>1.7445606464082279E-11</v>
      </c>
      <c r="L34">
        <f t="shared" si="5"/>
        <v>4.8708623205487877E-43</v>
      </c>
      <c r="N34">
        <f t="shared" si="3"/>
        <v>31</v>
      </c>
      <c r="O34">
        <f t="shared" si="6"/>
        <v>0.99999999999999978</v>
      </c>
      <c r="P34">
        <f t="shared" si="6"/>
        <v>0.99999999999999833</v>
      </c>
      <c r="Q34">
        <f t="shared" si="6"/>
        <v>0.999999999988755</v>
      </c>
      <c r="R34">
        <f t="shared" si="6"/>
        <v>0.99999999999999978</v>
      </c>
      <c r="S34">
        <f t="shared" si="2"/>
        <v>32</v>
      </c>
    </row>
    <row r="35" spans="8:19">
      <c r="H35">
        <f t="shared" si="4"/>
        <v>32</v>
      </c>
      <c r="I35">
        <f t="shared" si="5"/>
        <v>1.2783098133475685E-26</v>
      </c>
      <c r="J35">
        <f t="shared" si="5"/>
        <v>9.7976477003676417E-16</v>
      </c>
      <c r="K35">
        <f t="shared" si="5"/>
        <v>6.848801342961397E-12</v>
      </c>
      <c r="L35">
        <f t="shared" si="5"/>
        <v>8.3026062282082119E-45</v>
      </c>
      <c r="N35">
        <f t="shared" si="3"/>
        <v>32</v>
      </c>
      <c r="O35">
        <f t="shared" si="6"/>
        <v>0.99999999999999978</v>
      </c>
      <c r="P35">
        <f t="shared" si="6"/>
        <v>0.99999999999999933</v>
      </c>
      <c r="Q35">
        <f t="shared" si="6"/>
        <v>0.99999999999560385</v>
      </c>
      <c r="R35">
        <f t="shared" si="6"/>
        <v>0.99999999999999978</v>
      </c>
      <c r="S35">
        <f t="shared" si="2"/>
        <v>33</v>
      </c>
    </row>
    <row r="36" spans="8:19">
      <c r="H36">
        <f t="shared" si="4"/>
        <v>33</v>
      </c>
      <c r="I36">
        <f t="shared" ref="I36:L51" si="7">+IF(B$8="binomial",_xlfn.BINOM.DIST($H36,B$9,B$10,0),IF(B$8="Binomial negativa",((1+(B$9-1)/$H36)/(1+B$10))*I35,_xlfn.POISSON.DIST($H36,B$9,0)))</f>
        <v>6.5393282204889439E-28</v>
      </c>
      <c r="J36">
        <f t="shared" si="7"/>
        <v>3.2457105213571101E-16</v>
      </c>
      <c r="K36">
        <f t="shared" si="7"/>
        <v>2.681567260515922E-12</v>
      </c>
      <c r="L36">
        <f t="shared" si="7"/>
        <v>1.3723316079682724E-46</v>
      </c>
      <c r="N36">
        <f t="shared" si="3"/>
        <v>33</v>
      </c>
      <c r="O36">
        <f t="shared" ref="O36:R51" si="8">+O35+I36</f>
        <v>0.99999999999999978</v>
      </c>
      <c r="P36">
        <f t="shared" si="8"/>
        <v>0.99999999999999967</v>
      </c>
      <c r="Q36">
        <f t="shared" si="8"/>
        <v>0.99999999999828537</v>
      </c>
      <c r="R36">
        <f t="shared" si="8"/>
        <v>0.99999999999999978</v>
      </c>
      <c r="S36">
        <f t="shared" si="2"/>
        <v>34</v>
      </c>
    </row>
    <row r="37" spans="8:19">
      <c r="H37">
        <f t="shared" si="4"/>
        <v>34</v>
      </c>
      <c r="I37">
        <f t="shared" si="7"/>
        <v>3.1908914760610353E-29</v>
      </c>
      <c r="J37">
        <f t="shared" si="7"/>
        <v>1.0747476578600168E-16</v>
      </c>
      <c r="K37">
        <f t="shared" si="7"/>
        <v>1.047305880246213E-12</v>
      </c>
      <c r="L37">
        <f t="shared" si="7"/>
        <v>2.201601510109575E-48</v>
      </c>
      <c r="N37">
        <f t="shared" si="3"/>
        <v>34</v>
      </c>
      <c r="O37">
        <f t="shared" si="8"/>
        <v>0.99999999999999978</v>
      </c>
      <c r="P37">
        <f t="shared" si="8"/>
        <v>0.99999999999999978</v>
      </c>
      <c r="Q37">
        <f t="shared" si="8"/>
        <v>0.99999999999933264</v>
      </c>
      <c r="R37">
        <f t="shared" si="8"/>
        <v>0.99999999999999978</v>
      </c>
      <c r="S37">
        <f t="shared" si="2"/>
        <v>35</v>
      </c>
    </row>
    <row r="38" spans="8:19">
      <c r="H38">
        <f t="shared" si="4"/>
        <v>35</v>
      </c>
      <c r="I38">
        <f t="shared" si="7"/>
        <v>1.4859868828226044E-30</v>
      </c>
      <c r="J38">
        <f t="shared" si="7"/>
        <v>3.5573192470412486E-17</v>
      </c>
      <c r="K38">
        <f t="shared" si="7"/>
        <v>4.0806453068101497E-13</v>
      </c>
      <c r="L38">
        <f t="shared" si="7"/>
        <v>3.4310672884824669E-50</v>
      </c>
      <c r="N38">
        <f t="shared" si="3"/>
        <v>35</v>
      </c>
      <c r="O38">
        <f t="shared" si="8"/>
        <v>0.99999999999999978</v>
      </c>
      <c r="P38">
        <f t="shared" si="8"/>
        <v>0.99999999999999978</v>
      </c>
      <c r="Q38">
        <f t="shared" si="8"/>
        <v>0.99999999999974076</v>
      </c>
      <c r="R38">
        <f t="shared" si="8"/>
        <v>0.99999999999999978</v>
      </c>
      <c r="S38">
        <f t="shared" si="2"/>
        <v>36</v>
      </c>
    </row>
    <row r="39" spans="8:19">
      <c r="H39">
        <f t="shared" si="4"/>
        <v>36</v>
      </c>
      <c r="I39">
        <f t="shared" si="7"/>
        <v>6.6078187790102488E-32</v>
      </c>
      <c r="J39">
        <f t="shared" si="7"/>
        <v>1.1769790714492934E-17</v>
      </c>
      <c r="K39">
        <f t="shared" si="7"/>
        <v>1.5863885291997052E-13</v>
      </c>
      <c r="L39">
        <f t="shared" si="7"/>
        <v>5.1985868007309477E-52</v>
      </c>
      <c r="N39">
        <f t="shared" si="3"/>
        <v>36</v>
      </c>
      <c r="O39">
        <f t="shared" si="8"/>
        <v>0.99999999999999978</v>
      </c>
      <c r="P39">
        <f t="shared" si="8"/>
        <v>0.99999999999999978</v>
      </c>
      <c r="Q39">
        <f t="shared" si="8"/>
        <v>0.99999999999989941</v>
      </c>
      <c r="R39">
        <f t="shared" si="8"/>
        <v>0.99999999999999978</v>
      </c>
      <c r="S39">
        <f t="shared" si="2"/>
        <v>37</v>
      </c>
    </row>
    <row r="40" spans="8:19">
      <c r="H40">
        <f t="shared" si="4"/>
        <v>37</v>
      </c>
      <c r="I40">
        <f t="shared" si="7"/>
        <v>2.8069399319725968E-33</v>
      </c>
      <c r="J40">
        <f t="shared" si="7"/>
        <v>3.8927216774068454E-18</v>
      </c>
      <c r="K40">
        <f t="shared" si="7"/>
        <v>6.1541254726794992E-14</v>
      </c>
      <c r="L40">
        <f t="shared" si="7"/>
        <v>7.663764325402079E-54</v>
      </c>
      <c r="N40">
        <f t="shared" si="3"/>
        <v>37</v>
      </c>
      <c r="O40">
        <f t="shared" si="8"/>
        <v>0.99999999999999978</v>
      </c>
      <c r="P40">
        <f t="shared" si="8"/>
        <v>0.99999999999999978</v>
      </c>
      <c r="Q40">
        <f t="shared" si="8"/>
        <v>0.99999999999996092</v>
      </c>
      <c r="R40">
        <f t="shared" si="8"/>
        <v>0.99999999999999978</v>
      </c>
      <c r="S40">
        <f t="shared" si="2"/>
        <v>38</v>
      </c>
    </row>
    <row r="41" spans="8:19">
      <c r="H41">
        <f t="shared" si="4"/>
        <v>38</v>
      </c>
      <c r="I41">
        <f t="shared" si="7"/>
        <v>1.139484314215815E-34</v>
      </c>
      <c r="J41">
        <f t="shared" si="7"/>
        <v>1.2870194636785312E-18</v>
      </c>
      <c r="K41">
        <f t="shared" si="7"/>
        <v>2.3825718977650629E-14</v>
      </c>
      <c r="L41">
        <f t="shared" si="7"/>
        <v>1.1000618648902246E-55</v>
      </c>
      <c r="N41">
        <f t="shared" si="3"/>
        <v>38</v>
      </c>
      <c r="O41">
        <f t="shared" si="8"/>
        <v>0.99999999999999978</v>
      </c>
      <c r="P41">
        <f t="shared" si="8"/>
        <v>0.99999999999999978</v>
      </c>
      <c r="Q41">
        <f t="shared" si="8"/>
        <v>0.99999999999998479</v>
      </c>
      <c r="R41">
        <f t="shared" si="8"/>
        <v>0.99999999999999978</v>
      </c>
      <c r="S41">
        <f t="shared" si="2"/>
        <v>39</v>
      </c>
    </row>
    <row r="42" spans="8:19">
      <c r="H42">
        <f t="shared" si="4"/>
        <v>39</v>
      </c>
      <c r="I42">
        <f t="shared" si="7"/>
        <v>4.4221151487239511E-36</v>
      </c>
      <c r="J42">
        <f t="shared" si="7"/>
        <v>4.2537485402404163E-19</v>
      </c>
      <c r="K42">
        <f t="shared" si="7"/>
        <v>9.2064437899318021E-15</v>
      </c>
      <c r="L42">
        <f t="shared" si="7"/>
        <v>1.5385480627835476E-57</v>
      </c>
      <c r="N42">
        <f t="shared" si="3"/>
        <v>39</v>
      </c>
      <c r="O42">
        <f t="shared" si="8"/>
        <v>0.99999999999999978</v>
      </c>
      <c r="P42">
        <f t="shared" si="8"/>
        <v>0.99999999999999978</v>
      </c>
      <c r="Q42">
        <f t="shared" si="8"/>
        <v>0.999999999999994</v>
      </c>
      <c r="R42">
        <f t="shared" si="8"/>
        <v>0.99999999999999978</v>
      </c>
      <c r="S42">
        <f t="shared" si="2"/>
        <v>40</v>
      </c>
    </row>
    <row r="43" spans="8:19">
      <c r="H43">
        <f t="shared" si="4"/>
        <v>40</v>
      </c>
      <c r="I43">
        <f t="shared" si="7"/>
        <v>1.641055205919365E-37</v>
      </c>
      <c r="J43">
        <f t="shared" si="7"/>
        <v>1.4054670117047938E-19</v>
      </c>
      <c r="K43">
        <f t="shared" si="7"/>
        <v>3.5509472655198727E-15</v>
      </c>
      <c r="L43">
        <f t="shared" si="7"/>
        <v>2.0980200856139059E-59</v>
      </c>
      <c r="N43">
        <f t="shared" si="3"/>
        <v>40</v>
      </c>
      <c r="O43">
        <f t="shared" si="8"/>
        <v>0.99999999999999978</v>
      </c>
      <c r="P43">
        <f t="shared" si="8"/>
        <v>0.99999999999999978</v>
      </c>
      <c r="Q43">
        <f t="shared" si="8"/>
        <v>0.99999999999999756</v>
      </c>
      <c r="R43">
        <f t="shared" si="8"/>
        <v>0.99999999999999978</v>
      </c>
      <c r="S43">
        <f t="shared" si="2"/>
        <v>41</v>
      </c>
    </row>
    <row r="44" spans="8:19">
      <c r="H44">
        <f t="shared" si="4"/>
        <v>41</v>
      </c>
      <c r="I44">
        <f t="shared" si="7"/>
        <v>5.8249512912304858E-39</v>
      </c>
      <c r="J44">
        <f t="shared" si="7"/>
        <v>4.642354802111388E-20</v>
      </c>
      <c r="K44">
        <f t="shared" si="7"/>
        <v>1.3672260619724986E-15</v>
      </c>
      <c r="L44">
        <f t="shared" si="7"/>
        <v>2.7911575418367028E-61</v>
      </c>
      <c r="N44">
        <f t="shared" si="3"/>
        <v>41</v>
      </c>
      <c r="O44">
        <f t="shared" si="8"/>
        <v>0.99999999999999978</v>
      </c>
      <c r="P44">
        <f t="shared" si="8"/>
        <v>0.99999999999999978</v>
      </c>
      <c r="Q44">
        <f t="shared" si="8"/>
        <v>0.99999999999999889</v>
      </c>
      <c r="R44">
        <f t="shared" si="8"/>
        <v>0.99999999999999978</v>
      </c>
      <c r="S44">
        <f t="shared" si="2"/>
        <v>42</v>
      </c>
    </row>
    <row r="45" spans="8:19">
      <c r="H45">
        <f t="shared" si="4"/>
        <v>42</v>
      </c>
      <c r="I45">
        <f t="shared" si="7"/>
        <v>1.9779806879438221E-40</v>
      </c>
      <c r="J45">
        <f t="shared" si="7"/>
        <v>1.5329607688995295E-20</v>
      </c>
      <c r="K45">
        <f t="shared" si="7"/>
        <v>5.2555116896511637E-16</v>
      </c>
      <c r="L45">
        <f t="shared" si="7"/>
        <v>3.6248799244632748E-63</v>
      </c>
      <c r="N45">
        <f t="shared" si="3"/>
        <v>42</v>
      </c>
      <c r="O45">
        <f t="shared" si="8"/>
        <v>0.99999999999999978</v>
      </c>
      <c r="P45">
        <f t="shared" si="8"/>
        <v>0.99999999999999978</v>
      </c>
      <c r="Q45">
        <f t="shared" si="8"/>
        <v>0.99999999999999944</v>
      </c>
      <c r="R45">
        <f t="shared" si="8"/>
        <v>0.99999999999999978</v>
      </c>
      <c r="S45">
        <f t="shared" si="2"/>
        <v>43</v>
      </c>
    </row>
    <row r="46" spans="8:19">
      <c r="H46">
        <f t="shared" si="4"/>
        <v>43</v>
      </c>
      <c r="I46">
        <f t="shared" si="7"/>
        <v>6.4265484808696849E-42</v>
      </c>
      <c r="J46">
        <f t="shared" si="7"/>
        <v>5.0606298088028535E-21</v>
      </c>
      <c r="K46">
        <f t="shared" si="7"/>
        <v>2.0169758300500651E-16</v>
      </c>
      <c r="L46">
        <f t="shared" si="7"/>
        <v>4.5981563523845963E-65</v>
      </c>
      <c r="N46">
        <f t="shared" si="3"/>
        <v>43</v>
      </c>
      <c r="O46">
        <f t="shared" si="8"/>
        <v>0.99999999999999978</v>
      </c>
      <c r="P46">
        <f t="shared" si="8"/>
        <v>0.99999999999999978</v>
      </c>
      <c r="Q46">
        <f t="shared" si="8"/>
        <v>0.99999999999999967</v>
      </c>
      <c r="R46">
        <f t="shared" si="8"/>
        <v>0.99999999999999978</v>
      </c>
      <c r="S46">
        <f t="shared" si="2"/>
        <v>44</v>
      </c>
    </row>
    <row r="47" spans="8:19">
      <c r="H47">
        <f t="shared" si="4"/>
        <v>44</v>
      </c>
      <c r="I47">
        <f t="shared" si="7"/>
        <v>1.9980480534928427E-43</v>
      </c>
      <c r="J47">
        <f t="shared" si="7"/>
        <v>1.6701839353758874E-21</v>
      </c>
      <c r="K47">
        <f t="shared" si="7"/>
        <v>7.7290779536921222E-17</v>
      </c>
      <c r="L47">
        <f t="shared" si="7"/>
        <v>5.7001938252702584E-67</v>
      </c>
      <c r="N47">
        <f t="shared" si="3"/>
        <v>44</v>
      </c>
      <c r="O47">
        <f t="shared" si="8"/>
        <v>0.99999999999999978</v>
      </c>
      <c r="P47">
        <f t="shared" si="8"/>
        <v>0.99999999999999978</v>
      </c>
      <c r="Q47">
        <f t="shared" si="8"/>
        <v>0.99999999999999978</v>
      </c>
      <c r="R47">
        <f t="shared" si="8"/>
        <v>0.99999999999999978</v>
      </c>
      <c r="S47">
        <f t="shared" si="2"/>
        <v>45</v>
      </c>
    </row>
    <row r="48" spans="8:19">
      <c r="H48">
        <f t="shared" si="4"/>
        <v>45</v>
      </c>
      <c r="I48">
        <f t="shared" si="7"/>
        <v>5.9447583573544242E-45</v>
      </c>
      <c r="J48">
        <f t="shared" si="7"/>
        <v>5.5108078556708715E-22</v>
      </c>
      <c r="K48">
        <f t="shared" si="7"/>
        <v>2.9574971003709371E-17</v>
      </c>
      <c r="L48">
        <f t="shared" si="7"/>
        <v>6.90932584881216E-69</v>
      </c>
      <c r="N48">
        <f t="shared" si="3"/>
        <v>45</v>
      </c>
      <c r="O48">
        <f t="shared" si="8"/>
        <v>0.99999999999999978</v>
      </c>
      <c r="P48">
        <f t="shared" si="8"/>
        <v>0.99999999999999978</v>
      </c>
      <c r="Q48">
        <f t="shared" si="8"/>
        <v>0.99999999999999978</v>
      </c>
      <c r="R48">
        <f t="shared" si="8"/>
        <v>0.99999999999999978</v>
      </c>
      <c r="S48">
        <f t="shared" si="2"/>
        <v>46</v>
      </c>
    </row>
    <row r="49" spans="8:19">
      <c r="H49">
        <f t="shared" si="4"/>
        <v>46</v>
      </c>
      <c r="I49">
        <f t="shared" si="7"/>
        <v>1.6926682478230968E-46</v>
      </c>
      <c r="J49">
        <f t="shared" si="7"/>
        <v>1.8178672803697318E-22</v>
      </c>
      <c r="K49">
        <f t="shared" si="7"/>
        <v>1.1301007503954196E-17</v>
      </c>
      <c r="L49">
        <f t="shared" si="7"/>
        <v>8.1928765005681525E-71</v>
      </c>
      <c r="N49">
        <f t="shared" si="3"/>
        <v>46</v>
      </c>
      <c r="O49">
        <f t="shared" si="8"/>
        <v>0.99999999999999978</v>
      </c>
      <c r="P49">
        <f t="shared" si="8"/>
        <v>0.99999999999999978</v>
      </c>
      <c r="Q49">
        <f t="shared" si="8"/>
        <v>0.99999999999999978</v>
      </c>
      <c r="R49">
        <f t="shared" si="8"/>
        <v>0.99999999999999978</v>
      </c>
      <c r="S49">
        <f t="shared" si="2"/>
        <v>47</v>
      </c>
    </row>
    <row r="50" spans="8:19">
      <c r="H50">
        <f t="shared" si="4"/>
        <v>47</v>
      </c>
      <c r="I50">
        <f t="shared" si="7"/>
        <v>4.6122158652585679E-48</v>
      </c>
      <c r="J50">
        <f t="shared" si="7"/>
        <v>5.9952792848272258E-23</v>
      </c>
      <c r="K50">
        <f t="shared" si="7"/>
        <v>4.3125197892927503E-18</v>
      </c>
      <c r="L50">
        <f t="shared" si="7"/>
        <v>9.5081738884733758E-73</v>
      </c>
      <c r="N50">
        <f t="shared" si="3"/>
        <v>47</v>
      </c>
      <c r="O50">
        <f t="shared" si="8"/>
        <v>0.99999999999999978</v>
      </c>
      <c r="P50">
        <f t="shared" si="8"/>
        <v>0.99999999999999978</v>
      </c>
      <c r="Q50">
        <f t="shared" si="8"/>
        <v>0.99999999999999978</v>
      </c>
      <c r="R50">
        <f t="shared" si="8"/>
        <v>0.99999999999999978</v>
      </c>
      <c r="S50">
        <f t="shared" si="2"/>
        <v>48</v>
      </c>
    </row>
    <row r="51" spans="8:19">
      <c r="H51">
        <f t="shared" si="4"/>
        <v>48</v>
      </c>
      <c r="I51">
        <f t="shared" si="7"/>
        <v>1.2025961325734814E-49</v>
      </c>
      <c r="J51">
        <f t="shared" si="7"/>
        <v>1.9767927450509866E-23</v>
      </c>
      <c r="K51">
        <f t="shared" si="7"/>
        <v>1.6435750362032358E-18</v>
      </c>
      <c r="L51">
        <f t="shared" si="7"/>
        <v>1.0804743055083648E-74</v>
      </c>
      <c r="N51">
        <f t="shared" si="3"/>
        <v>48</v>
      </c>
      <c r="O51">
        <f t="shared" si="8"/>
        <v>0.99999999999999978</v>
      </c>
      <c r="P51">
        <f t="shared" si="8"/>
        <v>0.99999999999999978</v>
      </c>
      <c r="Q51">
        <f t="shared" si="8"/>
        <v>0.99999999999999978</v>
      </c>
      <c r="R51">
        <f t="shared" si="8"/>
        <v>0.99999999999999978</v>
      </c>
      <c r="S51">
        <f t="shared" si="2"/>
        <v>49</v>
      </c>
    </row>
    <row r="52" spans="8:19">
      <c r="H52">
        <f t="shared" si="4"/>
        <v>49</v>
      </c>
      <c r="I52">
        <f t="shared" ref="I52:L67" si="9">+IF(B$8="binomial",_xlfn.BINOM.DIST($H52,B$9,B$10,0),IF(B$8="Binomial negativa",((1+(B$9-1)/$H52)/(1+B$10))*I51,_xlfn.POISSON.DIST($H52,B$9,0)))</f>
        <v>3.0002398317841318E-51</v>
      </c>
      <c r="J52">
        <f t="shared" si="9"/>
        <v>6.5166021944069235E-24</v>
      </c>
      <c r="K52">
        <f t="shared" si="9"/>
        <v>6.2562554660889001E-19</v>
      </c>
      <c r="L52">
        <f t="shared" si="9"/>
        <v>1.2027543289518071E-76</v>
      </c>
      <c r="N52">
        <f t="shared" si="3"/>
        <v>49</v>
      </c>
      <c r="O52">
        <f t="shared" ref="O52:R67" si="10">+O51+I52</f>
        <v>0.99999999999999978</v>
      </c>
      <c r="P52">
        <f t="shared" si="10"/>
        <v>0.99999999999999978</v>
      </c>
      <c r="Q52">
        <f t="shared" si="10"/>
        <v>0.99999999999999978</v>
      </c>
      <c r="R52">
        <f t="shared" si="10"/>
        <v>0.99999999999999978</v>
      </c>
      <c r="S52">
        <f t="shared" si="2"/>
        <v>50</v>
      </c>
    </row>
    <row r="53" spans="8:19">
      <c r="H53">
        <f t="shared" si="4"/>
        <v>50</v>
      </c>
      <c r="I53">
        <f t="shared" si="9"/>
        <v>7.160655565256088E-53</v>
      </c>
      <c r="J53">
        <f t="shared" si="9"/>
        <v>2.1477972514809881E-24</v>
      </c>
      <c r="K53">
        <f t="shared" si="9"/>
        <v>2.3786286063246023E-19</v>
      </c>
      <c r="L53">
        <f t="shared" si="9"/>
        <v>1.3120956315837812E-78</v>
      </c>
      <c r="N53">
        <f t="shared" si="3"/>
        <v>50</v>
      </c>
      <c r="O53">
        <f t="shared" si="10"/>
        <v>0.99999999999999978</v>
      </c>
      <c r="P53">
        <f t="shared" si="10"/>
        <v>0.99999999999999978</v>
      </c>
      <c r="Q53">
        <f t="shared" si="10"/>
        <v>0.99999999999999978</v>
      </c>
      <c r="R53">
        <f t="shared" si="10"/>
        <v>0.99999999999999978</v>
      </c>
      <c r="S53">
        <f t="shared" si="2"/>
        <v>51</v>
      </c>
    </row>
    <row r="54" spans="8:19">
      <c r="H54">
        <f t="shared" si="4"/>
        <v>51</v>
      </c>
      <c r="I54">
        <f t="shared" si="9"/>
        <v>1.6346529356909809E-54</v>
      </c>
      <c r="J54">
        <f t="shared" si="9"/>
        <v>7.0775148382604579E-25</v>
      </c>
      <c r="K54">
        <f t="shared" si="9"/>
        <v>9.0332819137851986E-20</v>
      </c>
      <c r="L54">
        <f t="shared" si="9"/>
        <v>1.4033108359184389E-80</v>
      </c>
      <c r="N54">
        <f t="shared" si="3"/>
        <v>51</v>
      </c>
      <c r="O54">
        <f t="shared" si="10"/>
        <v>0.99999999999999978</v>
      </c>
      <c r="P54">
        <f t="shared" si="10"/>
        <v>0.99999999999999978</v>
      </c>
      <c r="Q54">
        <f t="shared" si="10"/>
        <v>0.99999999999999978</v>
      </c>
      <c r="R54">
        <f t="shared" si="10"/>
        <v>0.99999999999999978</v>
      </c>
      <c r="S54">
        <f t="shared" si="2"/>
        <v>52</v>
      </c>
    </row>
    <row r="55" spans="8:19">
      <c r="H55">
        <f t="shared" si="4"/>
        <v>52</v>
      </c>
      <c r="I55">
        <f t="shared" si="9"/>
        <v>3.5683691943357364E-56</v>
      </c>
      <c r="J55">
        <f t="shared" si="9"/>
        <v>2.3317767417993557E-25</v>
      </c>
      <c r="K55">
        <f t="shared" si="9"/>
        <v>3.4268073955174762E-20</v>
      </c>
      <c r="L55">
        <f t="shared" si="9"/>
        <v>1.4720043733410272E-82</v>
      </c>
      <c r="N55">
        <f t="shared" si="3"/>
        <v>52</v>
      </c>
      <c r="O55">
        <f t="shared" si="10"/>
        <v>0.99999999999999978</v>
      </c>
      <c r="P55">
        <f t="shared" si="10"/>
        <v>0.99999999999999978</v>
      </c>
      <c r="Q55">
        <f t="shared" si="10"/>
        <v>0.99999999999999978</v>
      </c>
      <c r="R55">
        <f t="shared" si="10"/>
        <v>0.99999999999999978</v>
      </c>
      <c r="S55">
        <f t="shared" si="2"/>
        <v>53</v>
      </c>
    </row>
    <row r="56" spans="8:19">
      <c r="H56">
        <f t="shared" si="4"/>
        <v>53</v>
      </c>
      <c r="I56">
        <f t="shared" si="9"/>
        <v>7.446641867911178E-58</v>
      </c>
      <c r="J56">
        <f t="shared" si="9"/>
        <v>7.6809487907172422E-26</v>
      </c>
      <c r="K56">
        <f t="shared" si="9"/>
        <v>1.2986031682623679E-20</v>
      </c>
      <c r="L56">
        <f t="shared" si="9"/>
        <v>1.5149273139015536E-84</v>
      </c>
      <c r="N56">
        <f t="shared" si="3"/>
        <v>53</v>
      </c>
      <c r="O56">
        <f t="shared" si="10"/>
        <v>0.99999999999999978</v>
      </c>
      <c r="P56">
        <f t="shared" si="10"/>
        <v>0.99999999999999978</v>
      </c>
      <c r="Q56">
        <f t="shared" si="10"/>
        <v>0.99999999999999978</v>
      </c>
      <c r="R56">
        <f t="shared" si="10"/>
        <v>0.99999999999999978</v>
      </c>
      <c r="S56">
        <f t="shared" si="2"/>
        <v>54</v>
      </c>
    </row>
    <row r="57" spans="8:19">
      <c r="H57">
        <f t="shared" si="4"/>
        <v>54</v>
      </c>
      <c r="I57">
        <f t="shared" si="9"/>
        <v>1.4850852728028218E-59</v>
      </c>
      <c r="J57">
        <f t="shared" si="9"/>
        <v>2.5296904709459496E-26</v>
      </c>
      <c r="K57">
        <f t="shared" si="9"/>
        <v>4.9161184210246931E-21</v>
      </c>
      <c r="L57">
        <f t="shared" si="9"/>
        <v>1.5302296100015845E-86</v>
      </c>
      <c r="N57">
        <f t="shared" si="3"/>
        <v>54</v>
      </c>
      <c r="O57">
        <f t="shared" si="10"/>
        <v>0.99999999999999978</v>
      </c>
      <c r="P57">
        <f t="shared" si="10"/>
        <v>0.99999999999999978</v>
      </c>
      <c r="Q57">
        <f t="shared" si="10"/>
        <v>0.99999999999999978</v>
      </c>
      <c r="R57">
        <f t="shared" si="10"/>
        <v>0.99999999999999978</v>
      </c>
      <c r="S57">
        <f t="shared" si="2"/>
        <v>55</v>
      </c>
    </row>
    <row r="58" spans="8:19">
      <c r="H58">
        <f t="shared" si="4"/>
        <v>55</v>
      </c>
      <c r="I58">
        <f t="shared" si="9"/>
        <v>2.8292684841905896E-61</v>
      </c>
      <c r="J58">
        <f t="shared" si="9"/>
        <v>8.3300429496516823E-27</v>
      </c>
      <c r="K58">
        <f t="shared" si="9"/>
        <v>1.8592720331951114E-21</v>
      </c>
      <c r="L58">
        <f t="shared" si="9"/>
        <v>1.5175830842990706E-88</v>
      </c>
      <c r="N58">
        <f t="shared" si="3"/>
        <v>55</v>
      </c>
      <c r="O58">
        <f t="shared" si="10"/>
        <v>0.99999999999999978</v>
      </c>
      <c r="P58">
        <f t="shared" si="10"/>
        <v>0.99999999999999978</v>
      </c>
      <c r="Q58">
        <f t="shared" si="10"/>
        <v>0.99999999999999978</v>
      </c>
      <c r="R58">
        <f t="shared" si="10"/>
        <v>0.99999999999999978</v>
      </c>
      <c r="S58">
        <f t="shared" si="2"/>
        <v>56</v>
      </c>
    </row>
    <row r="59" spans="8:19">
      <c r="H59">
        <f t="shared" si="4"/>
        <v>56</v>
      </c>
      <c r="I59">
        <f t="shared" si="9"/>
        <v>5.1467981781012642E-63</v>
      </c>
      <c r="J59">
        <f t="shared" si="9"/>
        <v>2.742565576058424E-27</v>
      </c>
      <c r="K59">
        <f t="shared" si="9"/>
        <v>7.0251088019563326E-22</v>
      </c>
      <c r="L59">
        <f t="shared" si="9"/>
        <v>1.4781653418497609E-90</v>
      </c>
      <c r="N59">
        <f t="shared" si="3"/>
        <v>56</v>
      </c>
      <c r="O59">
        <f t="shared" si="10"/>
        <v>0.99999999999999978</v>
      </c>
      <c r="P59">
        <f t="shared" si="10"/>
        <v>0.99999999999999978</v>
      </c>
      <c r="Q59">
        <f t="shared" si="10"/>
        <v>0.99999999999999978</v>
      </c>
      <c r="R59">
        <f t="shared" si="10"/>
        <v>0.99999999999999978</v>
      </c>
      <c r="S59">
        <f t="shared" si="2"/>
        <v>57</v>
      </c>
    </row>
    <row r="60" spans="8:19">
      <c r="H60">
        <f t="shared" si="4"/>
        <v>57</v>
      </c>
      <c r="I60">
        <f t="shared" si="9"/>
        <v>8.9356090483140016E-65</v>
      </c>
      <c r="J60">
        <f t="shared" si="9"/>
        <v>9.0281584513310814E-28</v>
      </c>
      <c r="K60">
        <f t="shared" si="9"/>
        <v>2.6519585063214269E-22</v>
      </c>
      <c r="L60">
        <f t="shared" si="9"/>
        <v>1.4145122888514837E-92</v>
      </c>
      <c r="N60">
        <f t="shared" si="3"/>
        <v>57</v>
      </c>
      <c r="O60">
        <f t="shared" si="10"/>
        <v>0.99999999999999978</v>
      </c>
      <c r="P60">
        <f t="shared" si="10"/>
        <v>0.99999999999999978</v>
      </c>
      <c r="Q60">
        <f t="shared" si="10"/>
        <v>0.99999999999999978</v>
      </c>
      <c r="R60">
        <f t="shared" si="10"/>
        <v>0.99999999999999978</v>
      </c>
      <c r="S60">
        <f t="shared" si="2"/>
        <v>58</v>
      </c>
    </row>
    <row r="61" spans="8:19">
      <c r="H61">
        <f t="shared" si="4"/>
        <v>58</v>
      </c>
      <c r="I61">
        <f t="shared" si="9"/>
        <v>1.4797660693673517E-66</v>
      </c>
      <c r="J61">
        <f t="shared" si="9"/>
        <v>2.9715019459759738E-28</v>
      </c>
      <c r="K61">
        <f t="shared" si="9"/>
        <v>1.0002240048560301E-22</v>
      </c>
      <c r="L61">
        <f t="shared" si="9"/>
        <v>1.3302623406126552E-94</v>
      </c>
      <c r="N61">
        <f t="shared" si="3"/>
        <v>58</v>
      </c>
      <c r="O61">
        <f t="shared" si="10"/>
        <v>0.99999999999999978</v>
      </c>
      <c r="P61">
        <f t="shared" si="10"/>
        <v>0.99999999999999978</v>
      </c>
      <c r="Q61">
        <f t="shared" si="10"/>
        <v>0.99999999999999978</v>
      </c>
      <c r="R61">
        <f t="shared" si="10"/>
        <v>0.99999999999999978</v>
      </c>
      <c r="S61">
        <f t="shared" si="2"/>
        <v>59</v>
      </c>
    </row>
    <row r="62" spans="8:19">
      <c r="H62">
        <f t="shared" si="4"/>
        <v>59</v>
      </c>
      <c r="I62">
        <f t="shared" si="9"/>
        <v>2.3360061985150167E-68</v>
      </c>
      <c r="J62">
        <f t="shared" si="9"/>
        <v>9.7788945720302513E-29</v>
      </c>
      <c r="K62">
        <f t="shared" si="9"/>
        <v>3.7692710279778275E-23</v>
      </c>
      <c r="L62">
        <f t="shared" si="9"/>
        <v>1.2298265090409997E-96</v>
      </c>
      <c r="N62">
        <f t="shared" si="3"/>
        <v>59</v>
      </c>
      <c r="O62">
        <f t="shared" si="10"/>
        <v>0.99999999999999978</v>
      </c>
      <c r="P62">
        <f t="shared" si="10"/>
        <v>0.99999999999999978</v>
      </c>
      <c r="Q62">
        <f t="shared" si="10"/>
        <v>0.99999999999999978</v>
      </c>
      <c r="R62">
        <f t="shared" si="10"/>
        <v>0.99999999999999978</v>
      </c>
      <c r="S62">
        <f t="shared" si="2"/>
        <v>60</v>
      </c>
    </row>
    <row r="63" spans="8:19">
      <c r="H63">
        <f t="shared" si="4"/>
        <v>60</v>
      </c>
      <c r="I63">
        <f t="shared" si="9"/>
        <v>3.5129129943019368E-70</v>
      </c>
      <c r="J63">
        <f t="shared" si="9"/>
        <v>3.21767741492115E-29</v>
      </c>
      <c r="K63">
        <f t="shared" si="9"/>
        <v>1.4192504873479081E-23</v>
      </c>
      <c r="L63">
        <f t="shared" si="9"/>
        <v>1.1180240991281346E-98</v>
      </c>
      <c r="N63">
        <f t="shared" si="3"/>
        <v>60</v>
      </c>
      <c r="O63">
        <f t="shared" si="10"/>
        <v>0.99999999999999978</v>
      </c>
      <c r="P63">
        <f t="shared" si="10"/>
        <v>0.99999999999999978</v>
      </c>
      <c r="Q63">
        <f t="shared" si="10"/>
        <v>0.99999999999999978</v>
      </c>
      <c r="R63">
        <f t="shared" si="10"/>
        <v>0.99999999999999978</v>
      </c>
      <c r="S63">
        <f t="shared" si="2"/>
        <v>61</v>
      </c>
    </row>
    <row r="64" spans="8:19">
      <c r="H64">
        <f t="shared" si="4"/>
        <v>61</v>
      </c>
      <c r="I64">
        <f t="shared" si="9"/>
        <v>5.028538419300077E-72</v>
      </c>
      <c r="J64">
        <f t="shared" si="9"/>
        <v>1.0586105693893852E-29</v>
      </c>
      <c r="K64">
        <f t="shared" si="9"/>
        <v>5.339662400201497E-24</v>
      </c>
      <c r="L64">
        <f t="shared" si="9"/>
        <v>9.9972348655273735E-101</v>
      </c>
      <c r="N64">
        <f t="shared" si="3"/>
        <v>61</v>
      </c>
      <c r="O64">
        <f t="shared" si="10"/>
        <v>0.99999999999999978</v>
      </c>
      <c r="P64">
        <f t="shared" si="10"/>
        <v>0.99999999999999978</v>
      </c>
      <c r="Q64">
        <f t="shared" si="10"/>
        <v>0.99999999999999978</v>
      </c>
      <c r="R64">
        <f t="shared" si="10"/>
        <v>0.99999999999999978</v>
      </c>
      <c r="S64">
        <f t="shared" si="2"/>
        <v>62</v>
      </c>
    </row>
    <row r="65" spans="8:19">
      <c r="H65">
        <f t="shared" si="4"/>
        <v>62</v>
      </c>
      <c r="I65">
        <f t="shared" si="9"/>
        <v>6.8459077132176615E-74</v>
      </c>
      <c r="J65">
        <f t="shared" si="9"/>
        <v>3.4823533053551424E-30</v>
      </c>
      <c r="K65">
        <f t="shared" si="9"/>
        <v>2.0073936069475288E-24</v>
      </c>
      <c r="L65">
        <f t="shared" si="9"/>
        <v>8.7952212893205845E-103</v>
      </c>
      <c r="N65">
        <f t="shared" si="3"/>
        <v>62</v>
      </c>
      <c r="O65">
        <f t="shared" si="10"/>
        <v>0.99999999999999978</v>
      </c>
      <c r="P65">
        <f t="shared" si="10"/>
        <v>0.99999999999999978</v>
      </c>
      <c r="Q65">
        <f t="shared" si="10"/>
        <v>0.99999999999999978</v>
      </c>
      <c r="R65">
        <f t="shared" si="10"/>
        <v>0.99999999999999978</v>
      </c>
      <c r="S65">
        <f t="shared" si="2"/>
        <v>63</v>
      </c>
    </row>
    <row r="66" spans="8:19">
      <c r="H66">
        <f t="shared" si="4"/>
        <v>63</v>
      </c>
      <c r="I66">
        <f t="shared" si="9"/>
        <v>8.8558750736930139E-76</v>
      </c>
      <c r="J66">
        <f t="shared" si="9"/>
        <v>1.14539194158366E-30</v>
      </c>
      <c r="K66">
        <f t="shared" si="9"/>
        <v>7.540943419403309E-25</v>
      </c>
      <c r="L66">
        <f t="shared" si="9"/>
        <v>7.6149102072039733E-105</v>
      </c>
      <c r="N66">
        <f t="shared" si="3"/>
        <v>63</v>
      </c>
      <c r="O66">
        <f t="shared" si="10"/>
        <v>0.99999999999999978</v>
      </c>
      <c r="P66">
        <f t="shared" si="10"/>
        <v>0.99999999999999978</v>
      </c>
      <c r="Q66">
        <f t="shared" si="10"/>
        <v>0.99999999999999978</v>
      </c>
      <c r="R66">
        <f t="shared" si="10"/>
        <v>0.99999999999999978</v>
      </c>
      <c r="S66">
        <f t="shared" si="2"/>
        <v>64</v>
      </c>
    </row>
    <row r="67" spans="8:19">
      <c r="H67">
        <f t="shared" si="4"/>
        <v>64</v>
      </c>
      <c r="I67">
        <f t="shared" si="9"/>
        <v>1.0874222901040021E-77</v>
      </c>
      <c r="J67">
        <f t="shared" si="9"/>
        <v>3.7668803461621716E-31</v>
      </c>
      <c r="K67">
        <f t="shared" si="9"/>
        <v>2.8307608335638661E-25</v>
      </c>
      <c r="L67">
        <f t="shared" si="9"/>
        <v>6.4899802902305697E-107</v>
      </c>
      <c r="N67">
        <f t="shared" si="3"/>
        <v>64</v>
      </c>
      <c r="O67">
        <f t="shared" si="10"/>
        <v>0.99999999999999978</v>
      </c>
      <c r="P67">
        <f t="shared" si="10"/>
        <v>0.99999999999999978</v>
      </c>
      <c r="Q67">
        <f t="shared" si="10"/>
        <v>0.99999999999999978</v>
      </c>
      <c r="R67">
        <f t="shared" si="10"/>
        <v>0.99999999999999978</v>
      </c>
      <c r="S67">
        <f t="shared" si="2"/>
        <v>65</v>
      </c>
    </row>
    <row r="68" spans="8:19">
      <c r="H68">
        <f t="shared" si="4"/>
        <v>65</v>
      </c>
      <c r="I68">
        <f t="shared" ref="I68:L83" si="11">+IF(B$8="binomial",_xlfn.BINOM.DIST($H68,B$9,B$10,0),IF(B$8="Binomial negativa",((1+(B$9-1)/$H68)/(1+B$10))*I67,_xlfn.POISSON.DIST($H68,B$9,0)))</f>
        <v>1.2660217930524852E-79</v>
      </c>
      <c r="J68">
        <f t="shared" si="11"/>
        <v>1.2386755894277256E-31</v>
      </c>
      <c r="K68">
        <f t="shared" si="11"/>
        <v>1.0618777413808394E-25</v>
      </c>
      <c r="L68">
        <f t="shared" si="11"/>
        <v>5.4461373064872826E-109</v>
      </c>
      <c r="N68">
        <f t="shared" si="3"/>
        <v>65</v>
      </c>
      <c r="O68">
        <f t="shared" ref="O68:R83" si="12">+O67+I68</f>
        <v>0.99999999999999978</v>
      </c>
      <c r="P68">
        <f t="shared" si="12"/>
        <v>0.99999999999999978</v>
      </c>
      <c r="Q68">
        <f t="shared" si="12"/>
        <v>0.99999999999999978</v>
      </c>
      <c r="R68">
        <f t="shared" si="12"/>
        <v>0.99999999999999978</v>
      </c>
      <c r="S68">
        <f t="shared" ref="S68:S92" si="13">1+S67</f>
        <v>66</v>
      </c>
    </row>
    <row r="69" spans="8:19">
      <c r="H69">
        <f t="shared" si="4"/>
        <v>66</v>
      </c>
      <c r="I69">
        <f t="shared" si="11"/>
        <v>1.3957904226307753E-81</v>
      </c>
      <c r="J69">
        <f t="shared" si="11"/>
        <v>4.0727049936860279E-32</v>
      </c>
      <c r="K69">
        <f t="shared" si="11"/>
        <v>3.9806021335751791E-26</v>
      </c>
      <c r="L69">
        <f t="shared" si="11"/>
        <v>4.5009399227166801E-111</v>
      </c>
      <c r="N69">
        <f t="shared" ref="N69:N93" si="14">1+N68</f>
        <v>66</v>
      </c>
      <c r="O69">
        <f t="shared" si="12"/>
        <v>0.99999999999999978</v>
      </c>
      <c r="P69">
        <f t="shared" si="12"/>
        <v>0.99999999999999978</v>
      </c>
      <c r="Q69">
        <f t="shared" si="12"/>
        <v>0.99999999999999978</v>
      </c>
      <c r="R69">
        <f t="shared" si="12"/>
        <v>0.99999999999999978</v>
      </c>
      <c r="S69">
        <f t="shared" si="13"/>
        <v>67</v>
      </c>
    </row>
    <row r="70" spans="8:19">
      <c r="H70">
        <f t="shared" ref="H70:H93" si="15">1+H69</f>
        <v>67</v>
      </c>
      <c r="I70">
        <f t="shared" si="11"/>
        <v>1.4552567164301834E-83</v>
      </c>
      <c r="J70">
        <f t="shared" si="11"/>
        <v>1.338934850313004E-32</v>
      </c>
      <c r="K70">
        <f t="shared" si="11"/>
        <v>1.4911956017639394E-26</v>
      </c>
      <c r="L70">
        <f t="shared" si="11"/>
        <v>3.6642658800949216E-113</v>
      </c>
      <c r="N70">
        <f t="shared" si="14"/>
        <v>67</v>
      </c>
      <c r="O70">
        <f t="shared" si="12"/>
        <v>0.99999999999999978</v>
      </c>
      <c r="P70">
        <f t="shared" si="12"/>
        <v>0.99999999999999978</v>
      </c>
      <c r="Q70">
        <f t="shared" si="12"/>
        <v>0.99999999999999978</v>
      </c>
      <c r="R70">
        <f t="shared" si="12"/>
        <v>0.99999999999999978</v>
      </c>
      <c r="S70">
        <f t="shared" si="13"/>
        <v>68</v>
      </c>
    </row>
    <row r="71" spans="8:19">
      <c r="H71">
        <f t="shared" si="15"/>
        <v>68</v>
      </c>
      <c r="I71">
        <f t="shared" si="11"/>
        <v>1.4326545881450283E-85</v>
      </c>
      <c r="J71">
        <f t="shared" si="11"/>
        <v>4.4013761846976445E-33</v>
      </c>
      <c r="K71">
        <f t="shared" si="11"/>
        <v>5.5826492768598656E-27</v>
      </c>
      <c r="L71">
        <f t="shared" si="11"/>
        <v>2.9392507059584672E-115</v>
      </c>
      <c r="N71">
        <f t="shared" si="14"/>
        <v>68</v>
      </c>
      <c r="O71">
        <f t="shared" si="12"/>
        <v>0.99999999999999978</v>
      </c>
      <c r="P71">
        <f t="shared" si="12"/>
        <v>0.99999999999999978</v>
      </c>
      <c r="Q71">
        <f t="shared" si="12"/>
        <v>0.99999999999999978</v>
      </c>
      <c r="R71">
        <f t="shared" si="12"/>
        <v>0.99999999999999978</v>
      </c>
      <c r="S71">
        <f t="shared" si="13"/>
        <v>69</v>
      </c>
    </row>
    <row r="72" spans="8:19">
      <c r="H72">
        <f t="shared" si="15"/>
        <v>69</v>
      </c>
      <c r="I72">
        <f t="shared" si="11"/>
        <v>1.3295297030603122E-87</v>
      </c>
      <c r="J72">
        <f t="shared" si="11"/>
        <v>1.4466765907681045E-33</v>
      </c>
      <c r="K72">
        <f t="shared" si="11"/>
        <v>2.0886896248643035E-27</v>
      </c>
      <c r="L72">
        <f t="shared" si="11"/>
        <v>2.3235183446311993E-117</v>
      </c>
      <c r="N72">
        <f t="shared" si="14"/>
        <v>69</v>
      </c>
      <c r="O72">
        <f t="shared" si="12"/>
        <v>0.99999999999999978</v>
      </c>
      <c r="P72">
        <f t="shared" si="12"/>
        <v>0.99999999999999978</v>
      </c>
      <c r="Q72">
        <f t="shared" si="12"/>
        <v>0.99999999999999978</v>
      </c>
      <c r="R72">
        <f t="shared" si="12"/>
        <v>0.99999999999999978</v>
      </c>
      <c r="S72">
        <f t="shared" si="13"/>
        <v>70</v>
      </c>
    </row>
    <row r="73" spans="8:19">
      <c r="H73">
        <f t="shared" si="15"/>
        <v>70</v>
      </c>
      <c r="I73">
        <f t="shared" si="11"/>
        <v>1.1609199070380614E-89</v>
      </c>
      <c r="J73">
        <f t="shared" si="11"/>
        <v>4.7545525521060841E-34</v>
      </c>
      <c r="K73">
        <f t="shared" si="11"/>
        <v>7.8098541093424223E-28</v>
      </c>
      <c r="L73">
        <f t="shared" si="11"/>
        <v>1.8105337750373979E-119</v>
      </c>
      <c r="N73">
        <f t="shared" si="14"/>
        <v>70</v>
      </c>
      <c r="O73">
        <f t="shared" si="12"/>
        <v>0.99999999999999978</v>
      </c>
      <c r="P73">
        <f t="shared" si="12"/>
        <v>0.99999999999999978</v>
      </c>
      <c r="Q73">
        <f t="shared" si="12"/>
        <v>0.99999999999999978</v>
      </c>
      <c r="R73">
        <f t="shared" si="12"/>
        <v>0.99999999999999978</v>
      </c>
      <c r="S73">
        <f t="shared" si="13"/>
        <v>71</v>
      </c>
    </row>
    <row r="74" spans="8:19">
      <c r="H74">
        <f t="shared" si="15"/>
        <v>71</v>
      </c>
      <c r="I74">
        <f t="shared" si="11"/>
        <v>9.5182446771887702E-92</v>
      </c>
      <c r="J74">
        <f t="shared" si="11"/>
        <v>1.5624435652732738E-34</v>
      </c>
      <c r="K74">
        <f t="shared" si="11"/>
        <v>2.9184662644810944E-28</v>
      </c>
      <c r="L74">
        <f t="shared" si="11"/>
        <v>1.3909350384409909E-121</v>
      </c>
      <c r="N74">
        <f t="shared" si="14"/>
        <v>71</v>
      </c>
      <c r="O74">
        <f t="shared" si="12"/>
        <v>0.99999999999999978</v>
      </c>
      <c r="P74">
        <f t="shared" si="12"/>
        <v>0.99999999999999978</v>
      </c>
      <c r="Q74">
        <f t="shared" si="12"/>
        <v>0.99999999999999978</v>
      </c>
      <c r="R74">
        <f t="shared" si="12"/>
        <v>0.99999999999999978</v>
      </c>
      <c r="S74">
        <f t="shared" si="13"/>
        <v>72</v>
      </c>
    </row>
    <row r="75" spans="8:19">
      <c r="H75">
        <f t="shared" si="15"/>
        <v>72</v>
      </c>
      <c r="I75">
        <f t="shared" si="11"/>
        <v>7.3107330911649261E-94</v>
      </c>
      <c r="J75">
        <f t="shared" si="11"/>
        <v>5.1340101361312007E-35</v>
      </c>
      <c r="K75">
        <f t="shared" si="11"/>
        <v>1.0899740998328588E-28</v>
      </c>
      <c r="L75">
        <f t="shared" si="11"/>
        <v>1.0537386654855732E-123</v>
      </c>
      <c r="N75">
        <f t="shared" si="14"/>
        <v>72</v>
      </c>
      <c r="O75">
        <f t="shared" si="12"/>
        <v>0.99999999999999978</v>
      </c>
      <c r="P75">
        <f t="shared" si="12"/>
        <v>0.99999999999999978</v>
      </c>
      <c r="Q75">
        <f t="shared" si="12"/>
        <v>0.99999999999999978</v>
      </c>
      <c r="R75">
        <f t="shared" si="12"/>
        <v>0.99999999999999978</v>
      </c>
      <c r="S75">
        <f t="shared" si="13"/>
        <v>73</v>
      </c>
    </row>
    <row r="76" spans="8:19">
      <c r="H76">
        <f t="shared" si="15"/>
        <v>73</v>
      </c>
      <c r="I76">
        <f t="shared" si="11"/>
        <v>5.2467881951801982E-96</v>
      </c>
      <c r="J76">
        <f t="shared" si="11"/>
        <v>1.6868169371697242E-35</v>
      </c>
      <c r="K76">
        <f t="shared" si="11"/>
        <v>4.0684983233887615E-29</v>
      </c>
      <c r="L76">
        <f t="shared" si="11"/>
        <v>7.8735143124700614E-126</v>
      </c>
      <c r="N76">
        <f t="shared" si="14"/>
        <v>73</v>
      </c>
      <c r="O76">
        <f t="shared" si="12"/>
        <v>0.99999999999999978</v>
      </c>
      <c r="P76">
        <f t="shared" si="12"/>
        <v>0.99999999999999978</v>
      </c>
      <c r="Q76">
        <f t="shared" si="12"/>
        <v>0.99999999999999978</v>
      </c>
      <c r="R76">
        <f t="shared" si="12"/>
        <v>0.99999999999999978</v>
      </c>
      <c r="S76">
        <f t="shared" si="13"/>
        <v>74</v>
      </c>
    </row>
    <row r="77" spans="8:19">
      <c r="H77">
        <f t="shared" si="15"/>
        <v>74</v>
      </c>
      <c r="I77">
        <f t="shared" si="11"/>
        <v>3.5082755252369647E-98</v>
      </c>
      <c r="J77">
        <f t="shared" si="11"/>
        <v>5.54165062573346E-36</v>
      </c>
      <c r="K77">
        <f t="shared" si="11"/>
        <v>1.5178016398885366E-29</v>
      </c>
      <c r="L77">
        <f t="shared" si="11"/>
        <v>5.8035732032951835E-128</v>
      </c>
      <c r="N77">
        <f t="shared" si="14"/>
        <v>74</v>
      </c>
      <c r="O77">
        <f t="shared" si="12"/>
        <v>0.99999999999999978</v>
      </c>
      <c r="P77">
        <f t="shared" si="12"/>
        <v>0.99999999999999978</v>
      </c>
      <c r="Q77">
        <f t="shared" si="12"/>
        <v>0.99999999999999978</v>
      </c>
      <c r="R77">
        <f t="shared" si="12"/>
        <v>0.99999999999999978</v>
      </c>
      <c r="S77">
        <f t="shared" si="13"/>
        <v>75</v>
      </c>
    </row>
    <row r="78" spans="8:19">
      <c r="H78">
        <f t="shared" si="15"/>
        <v>75</v>
      </c>
      <c r="I78">
        <f t="shared" si="11"/>
        <v>2.1783886837229226E-100</v>
      </c>
      <c r="J78">
        <f t="shared" si="11"/>
        <v>1.8204189730160593E-36</v>
      </c>
      <c r="K78">
        <f t="shared" si="11"/>
        <v>5.6593298250015963E-30</v>
      </c>
      <c r="L78">
        <f t="shared" si="11"/>
        <v>4.2207805114872925E-130</v>
      </c>
      <c r="N78">
        <f t="shared" si="14"/>
        <v>75</v>
      </c>
      <c r="O78">
        <f t="shared" si="12"/>
        <v>0.99999999999999978</v>
      </c>
      <c r="P78">
        <f t="shared" si="12"/>
        <v>0.99999999999999978</v>
      </c>
      <c r="Q78">
        <f t="shared" si="12"/>
        <v>0.99999999999999978</v>
      </c>
      <c r="R78">
        <f t="shared" si="12"/>
        <v>0.99999999999999978</v>
      </c>
      <c r="S78">
        <f t="shared" si="13"/>
        <v>76</v>
      </c>
    </row>
    <row r="79" spans="8:19">
      <c r="H79">
        <f t="shared" si="15"/>
        <v>76</v>
      </c>
      <c r="I79">
        <f t="shared" si="11"/>
        <v>1.2513995611713832E-102</v>
      </c>
      <c r="J79">
        <f t="shared" si="11"/>
        <v>5.9795101673470089E-37</v>
      </c>
      <c r="K79">
        <f t="shared" si="11"/>
        <v>2.1090654734702107E-30</v>
      </c>
      <c r="L79">
        <f t="shared" si="11"/>
        <v>3.02926830967983E-132</v>
      </c>
      <c r="N79">
        <f t="shared" si="14"/>
        <v>76</v>
      </c>
      <c r="O79">
        <f t="shared" si="12"/>
        <v>0.99999999999999978</v>
      </c>
      <c r="P79">
        <f t="shared" si="12"/>
        <v>0.99999999999999978</v>
      </c>
      <c r="Q79">
        <f t="shared" si="12"/>
        <v>0.99999999999999978</v>
      </c>
      <c r="R79">
        <f t="shared" si="12"/>
        <v>0.99999999999999978</v>
      </c>
      <c r="S79">
        <f t="shared" si="13"/>
        <v>77</v>
      </c>
    </row>
    <row r="80" spans="8:19">
      <c r="H80">
        <f t="shared" si="15"/>
        <v>77</v>
      </c>
      <c r="I80">
        <f t="shared" si="11"/>
        <v>6.6224131001322225E-105</v>
      </c>
      <c r="J80">
        <f t="shared" si="11"/>
        <v>1.9639159224836486E-37</v>
      </c>
      <c r="K80">
        <f t="shared" si="11"/>
        <v>7.8558994918766605E-31</v>
      </c>
      <c r="L80">
        <f t="shared" si="11"/>
        <v>2.1458807388522867E-134</v>
      </c>
      <c r="N80">
        <f t="shared" si="14"/>
        <v>77</v>
      </c>
      <c r="O80">
        <f t="shared" si="12"/>
        <v>0.99999999999999978</v>
      </c>
      <c r="P80">
        <f t="shared" si="12"/>
        <v>0.99999999999999978</v>
      </c>
      <c r="Q80">
        <f t="shared" si="12"/>
        <v>0.99999999999999978</v>
      </c>
      <c r="R80">
        <f t="shared" si="12"/>
        <v>0.99999999999999978</v>
      </c>
      <c r="S80">
        <f t="shared" si="13"/>
        <v>78</v>
      </c>
    </row>
    <row r="81" spans="8:19">
      <c r="H81">
        <f t="shared" si="15"/>
        <v>78</v>
      </c>
      <c r="I81">
        <f t="shared" si="11"/>
        <v>3.2125358074099101E-107</v>
      </c>
      <c r="J81">
        <f t="shared" si="11"/>
        <v>6.4497687803907247E-38</v>
      </c>
      <c r="K81">
        <f t="shared" si="11"/>
        <v>2.9247455469155587E-31</v>
      </c>
      <c r="L81">
        <f t="shared" si="11"/>
        <v>1.500615901295367E-136</v>
      </c>
      <c r="N81">
        <f t="shared" si="14"/>
        <v>78</v>
      </c>
      <c r="O81">
        <f t="shared" si="12"/>
        <v>0.99999999999999978</v>
      </c>
      <c r="P81">
        <f t="shared" si="12"/>
        <v>0.99999999999999978</v>
      </c>
      <c r="Q81">
        <f t="shared" si="12"/>
        <v>0.99999999999999978</v>
      </c>
      <c r="R81">
        <f t="shared" si="12"/>
        <v>0.99999999999999978</v>
      </c>
      <c r="S81">
        <f t="shared" si="13"/>
        <v>79</v>
      </c>
    </row>
    <row r="82" spans="8:19">
      <c r="H82">
        <f t="shared" si="15"/>
        <v>79</v>
      </c>
      <c r="I82">
        <f t="shared" si="11"/>
        <v>1.4203163652855924E-109</v>
      </c>
      <c r="J82">
        <f t="shared" si="11"/>
        <v>2.1180210966796987E-38</v>
      </c>
      <c r="K82">
        <f t="shared" si="11"/>
        <v>1.0883582671318754E-31</v>
      </c>
      <c r="L82">
        <f t="shared" si="11"/>
        <v>1.0360984358771678E-138</v>
      </c>
      <c r="N82">
        <f t="shared" si="14"/>
        <v>79</v>
      </c>
      <c r="O82">
        <f t="shared" si="12"/>
        <v>0.99999999999999978</v>
      </c>
      <c r="P82">
        <f t="shared" si="12"/>
        <v>0.99999999999999978</v>
      </c>
      <c r="Q82">
        <f t="shared" si="12"/>
        <v>0.99999999999999978</v>
      </c>
      <c r="R82">
        <f t="shared" si="12"/>
        <v>0.99999999999999978</v>
      </c>
      <c r="S82">
        <f t="shared" si="13"/>
        <v>80</v>
      </c>
    </row>
    <row r="83" spans="8:19">
      <c r="H83">
        <f t="shared" si="15"/>
        <v>80</v>
      </c>
      <c r="I83">
        <f t="shared" si="11"/>
        <v>5.6842183018185935E-112</v>
      </c>
      <c r="J83">
        <f t="shared" si="11"/>
        <v>6.9547604216452652E-39</v>
      </c>
      <c r="K83">
        <f t="shared" si="11"/>
        <v>4.0481109574130725E-32</v>
      </c>
      <c r="L83">
        <f t="shared" si="11"/>
        <v>7.064307517343535E-141</v>
      </c>
      <c r="N83">
        <f t="shared" si="14"/>
        <v>80</v>
      </c>
      <c r="O83">
        <f t="shared" si="12"/>
        <v>0.99999999999999978</v>
      </c>
      <c r="P83">
        <f t="shared" si="12"/>
        <v>0.99999999999999978</v>
      </c>
      <c r="Q83">
        <f t="shared" si="12"/>
        <v>0.99999999999999978</v>
      </c>
      <c r="R83">
        <f t="shared" si="12"/>
        <v>0.99999999999999978</v>
      </c>
      <c r="S83">
        <f t="shared" si="13"/>
        <v>81</v>
      </c>
    </row>
    <row r="84" spans="8:19">
      <c r="H84">
        <f t="shared" si="15"/>
        <v>81</v>
      </c>
      <c r="I84">
        <f t="shared" ref="I84:L93" si="16">+IF(B$8="binomial",_xlfn.BINOM.DIST($H84,B$9,B$10,0),IF(B$8="Binomial negativa",((1+(B$9-1)/$H84)/(1+B$10))*I83,_xlfn.POISSON.DIST($H84,B$9,0)))</f>
        <v>2.0425311523180002E-114</v>
      </c>
      <c r="J84">
        <f t="shared" si="16"/>
        <v>2.2834981586433367E-39</v>
      </c>
      <c r="K84">
        <f t="shared" si="16"/>
        <v>1.5049934081036296E-32</v>
      </c>
      <c r="L84">
        <f t="shared" si="16"/>
        <v>4.757109439288642E-143</v>
      </c>
      <c r="N84">
        <f t="shared" si="14"/>
        <v>81</v>
      </c>
      <c r="O84">
        <f t="shared" ref="O84:R93" si="17">+O83+I84</f>
        <v>0.99999999999999978</v>
      </c>
      <c r="P84">
        <f t="shared" si="17"/>
        <v>0.99999999999999978</v>
      </c>
      <c r="Q84">
        <f t="shared" si="17"/>
        <v>0.99999999999999978</v>
      </c>
      <c r="R84">
        <f t="shared" si="17"/>
        <v>0.99999999999999978</v>
      </c>
      <c r="S84">
        <f t="shared" si="13"/>
        <v>82</v>
      </c>
    </row>
    <row r="85" spans="8:19">
      <c r="H85">
        <f t="shared" si="15"/>
        <v>82</v>
      </c>
      <c r="I85">
        <f t="shared" si="16"/>
        <v>6.5249968356592146E-117</v>
      </c>
      <c r="J85">
        <f t="shared" si="16"/>
        <v>7.4969837433904753E-40</v>
      </c>
      <c r="K85">
        <f t="shared" si="16"/>
        <v>5.5927215882813795E-33</v>
      </c>
      <c r="L85">
        <f t="shared" si="16"/>
        <v>3.1643743498593232E-145</v>
      </c>
      <c r="N85">
        <f t="shared" si="14"/>
        <v>82</v>
      </c>
      <c r="O85">
        <f t="shared" si="17"/>
        <v>0.99999999999999978</v>
      </c>
      <c r="P85">
        <f t="shared" si="17"/>
        <v>0.99999999999999978</v>
      </c>
      <c r="Q85">
        <f t="shared" si="17"/>
        <v>0.99999999999999978</v>
      </c>
      <c r="R85">
        <f t="shared" si="17"/>
        <v>0.99999999999999978</v>
      </c>
      <c r="S85">
        <f t="shared" si="13"/>
        <v>83</v>
      </c>
    </row>
    <row r="86" spans="8:19">
      <c r="H86">
        <f t="shared" si="15"/>
        <v>83</v>
      </c>
      <c r="I86">
        <f t="shared" si="16"/>
        <v>1.8305228705102061E-119</v>
      </c>
      <c r="J86">
        <f t="shared" si="16"/>
        <v>2.4611646406790843E-40</v>
      </c>
      <c r="K86">
        <f t="shared" si="16"/>
        <v>2.0774127698079168E-33</v>
      </c>
      <c r="L86">
        <f t="shared" si="16"/>
        <v>2.0795450272899233E-147</v>
      </c>
      <c r="N86">
        <f t="shared" si="14"/>
        <v>83</v>
      </c>
      <c r="O86">
        <f t="shared" si="17"/>
        <v>0.99999999999999978</v>
      </c>
      <c r="P86">
        <f t="shared" si="17"/>
        <v>0.99999999999999978</v>
      </c>
      <c r="Q86">
        <f t="shared" si="17"/>
        <v>0.99999999999999978</v>
      </c>
      <c r="R86">
        <f t="shared" si="17"/>
        <v>0.99999999999999978</v>
      </c>
      <c r="S86">
        <f t="shared" si="13"/>
        <v>84</v>
      </c>
    </row>
    <row r="87" spans="8:19">
      <c r="H87">
        <f t="shared" si="15"/>
        <v>84</v>
      </c>
      <c r="I87">
        <f t="shared" si="16"/>
        <v>4.4399376623604954E-122</v>
      </c>
      <c r="J87">
        <f t="shared" si="16"/>
        <v>8.0791135932066315E-41</v>
      </c>
      <c r="K87">
        <f t="shared" si="16"/>
        <v>7.7132571158971156E-34</v>
      </c>
      <c r="L87">
        <f t="shared" si="16"/>
        <v>1.350353913824656E-149</v>
      </c>
      <c r="N87">
        <f t="shared" si="14"/>
        <v>84</v>
      </c>
      <c r="O87">
        <f t="shared" si="17"/>
        <v>0.99999999999999978</v>
      </c>
      <c r="P87">
        <f t="shared" si="17"/>
        <v>0.99999999999999978</v>
      </c>
      <c r="Q87">
        <f t="shared" si="17"/>
        <v>0.99999999999999978</v>
      </c>
      <c r="R87">
        <f t="shared" si="17"/>
        <v>0.99999999999999978</v>
      </c>
      <c r="S87">
        <f t="shared" si="13"/>
        <v>85</v>
      </c>
    </row>
    <row r="88" spans="8:19">
      <c r="H88">
        <f t="shared" si="15"/>
        <v>85</v>
      </c>
      <c r="I88">
        <f t="shared" si="16"/>
        <v>9.1220438703260404E-125</v>
      </c>
      <c r="J88">
        <f t="shared" si="16"/>
        <v>2.6518957041771181E-41</v>
      </c>
      <c r="K88">
        <f t="shared" si="16"/>
        <v>2.8626780136072165E-34</v>
      </c>
      <c r="L88">
        <f t="shared" si="16"/>
        <v>8.6653727090352824E-152</v>
      </c>
      <c r="N88">
        <f t="shared" si="14"/>
        <v>85</v>
      </c>
      <c r="O88">
        <f t="shared" si="17"/>
        <v>0.99999999999999978</v>
      </c>
      <c r="P88">
        <f t="shared" si="17"/>
        <v>0.99999999999999978</v>
      </c>
      <c r="Q88">
        <f t="shared" si="17"/>
        <v>0.99999999999999978</v>
      </c>
      <c r="R88">
        <f t="shared" si="17"/>
        <v>0.99999999999999978</v>
      </c>
      <c r="S88">
        <f t="shared" si="13"/>
        <v>86</v>
      </c>
    </row>
    <row r="89" spans="8:19">
      <c r="H89">
        <f t="shared" si="15"/>
        <v>86</v>
      </c>
      <c r="I89">
        <f t="shared" si="16"/>
        <v>1.5436422930010588E-127</v>
      </c>
      <c r="J89">
        <f t="shared" si="16"/>
        <v>8.7040133065664244E-42</v>
      </c>
      <c r="K89">
        <f t="shared" si="16"/>
        <v>1.0620158538413699E-34</v>
      </c>
      <c r="L89">
        <f t="shared" si="16"/>
        <v>5.4960080606989284E-154</v>
      </c>
      <c r="N89">
        <f t="shared" si="14"/>
        <v>86</v>
      </c>
      <c r="O89">
        <f t="shared" si="17"/>
        <v>0.99999999999999978</v>
      </c>
      <c r="P89">
        <f t="shared" si="17"/>
        <v>0.99999999999999978</v>
      </c>
      <c r="Q89">
        <f t="shared" si="17"/>
        <v>0.99999999999999978</v>
      </c>
      <c r="R89">
        <f t="shared" si="17"/>
        <v>0.99999999999999978</v>
      </c>
      <c r="S89">
        <f t="shared" si="13"/>
        <v>87</v>
      </c>
    </row>
    <row r="90" spans="8:19">
      <c r="H90">
        <f t="shared" si="15"/>
        <v>87</v>
      </c>
      <c r="I90">
        <f t="shared" si="16"/>
        <v>2.0657148280177039E-130</v>
      </c>
      <c r="J90">
        <f t="shared" si="16"/>
        <v>2.8566281586243083E-42</v>
      </c>
      <c r="K90">
        <f t="shared" si="16"/>
        <v>3.9383769626674539E-35</v>
      </c>
      <c r="L90">
        <f t="shared" si="16"/>
        <v>3.4457730788079813E-156</v>
      </c>
      <c r="N90">
        <f t="shared" si="14"/>
        <v>87</v>
      </c>
      <c r="O90">
        <f t="shared" si="17"/>
        <v>0.99999999999999978</v>
      </c>
      <c r="P90">
        <f t="shared" si="17"/>
        <v>0.99999999999999978</v>
      </c>
      <c r="Q90">
        <f t="shared" si="17"/>
        <v>0.99999999999999978</v>
      </c>
      <c r="R90">
        <f t="shared" si="17"/>
        <v>0.99999999999999978</v>
      </c>
      <c r="S90">
        <f t="shared" si="13"/>
        <v>88</v>
      </c>
    </row>
    <row r="91" spans="8:19">
      <c r="H91">
        <f t="shared" si="15"/>
        <v>88</v>
      </c>
      <c r="I91">
        <f t="shared" si="16"/>
        <v>2.049707587808176E-133</v>
      </c>
      <c r="J91">
        <f t="shared" si="16"/>
        <v>9.3747478467945853E-43</v>
      </c>
      <c r="K91">
        <f t="shared" si="16"/>
        <v>1.4599406387580159E-35</v>
      </c>
      <c r="L91">
        <f t="shared" si="16"/>
        <v>2.1358097595917783E-158</v>
      </c>
      <c r="N91">
        <f t="shared" si="14"/>
        <v>88</v>
      </c>
      <c r="O91">
        <f t="shared" si="17"/>
        <v>0.99999999999999978</v>
      </c>
      <c r="P91">
        <f t="shared" si="17"/>
        <v>0.99999999999999978</v>
      </c>
      <c r="Q91">
        <f t="shared" si="17"/>
        <v>0.99999999999999978</v>
      </c>
      <c r="R91">
        <f t="shared" si="17"/>
        <v>0.99999999999999978</v>
      </c>
      <c r="S91">
        <f t="shared" si="13"/>
        <v>89</v>
      </c>
    </row>
    <row r="92" spans="8:19">
      <c r="H92">
        <f t="shared" si="15"/>
        <v>89</v>
      </c>
      <c r="I92">
        <f t="shared" si="16"/>
        <v>1.3406482856088415E-136</v>
      </c>
      <c r="J92">
        <f t="shared" si="16"/>
        <v>3.0763647576385221E-43</v>
      </c>
      <c r="K92">
        <f t="shared" si="16"/>
        <v>5.4098903952539063E-36</v>
      </c>
      <c r="L92">
        <f t="shared" si="16"/>
        <v>1.3089743163995156E-160</v>
      </c>
      <c r="N92">
        <f t="shared" si="14"/>
        <v>89</v>
      </c>
      <c r="O92">
        <f t="shared" si="17"/>
        <v>0.99999999999999978</v>
      </c>
      <c r="P92">
        <f t="shared" si="17"/>
        <v>0.99999999999999978</v>
      </c>
      <c r="Q92">
        <f t="shared" si="17"/>
        <v>0.99999999999999978</v>
      </c>
      <c r="R92">
        <f t="shared" si="17"/>
        <v>0.99999999999999978</v>
      </c>
      <c r="S92">
        <f t="shared" si="13"/>
        <v>90</v>
      </c>
    </row>
    <row r="93" spans="8:19">
      <c r="H93">
        <f t="shared" si="15"/>
        <v>90</v>
      </c>
      <c r="I93">
        <f t="shared" si="16"/>
        <v>4.335660891319935E-140</v>
      </c>
      <c r="J93">
        <f t="shared" si="16"/>
        <v>1.0094597850662673E-43</v>
      </c>
      <c r="K93">
        <f t="shared" si="16"/>
        <v>2.003921416666796E-36</v>
      </c>
      <c r="L93">
        <f t="shared" si="16"/>
        <v>7.9331776751482803E-163</v>
      </c>
      <c r="N93">
        <f t="shared" si="14"/>
        <v>90</v>
      </c>
      <c r="O93">
        <f t="shared" si="17"/>
        <v>0.99999999999999978</v>
      </c>
      <c r="P93">
        <f t="shared" si="17"/>
        <v>0.99999999999999978</v>
      </c>
      <c r="Q93">
        <f t="shared" si="17"/>
        <v>0.99999999999999978</v>
      </c>
      <c r="R93">
        <f t="shared" si="17"/>
        <v>0.99999999999999978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C34CCA-AAFE-4B02-A2A1-FD9CE1EC766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pasos</vt:lpstr>
      <vt:lpstr>datos</vt:lpstr>
      <vt:lpstr>desglose</vt:lpstr>
      <vt:lpstr>estadísticos descriptivos</vt:lpstr>
      <vt:lpstr>pruebas de bondad de ajuste</vt:lpstr>
      <vt:lpstr>sumario distribuciones elegidas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José Daniel López Barrientos</dc:creator>
  <cp:keywords/>
  <dc:description/>
  <cp:lastModifiedBy>Jose Daniel Lopez Barrientos</cp:lastModifiedBy>
  <cp:revision/>
  <dcterms:created xsi:type="dcterms:W3CDTF">2026-05-24T04:57:12Z</dcterms:created>
  <dcterms:modified xsi:type="dcterms:W3CDTF">2026-07-15T22:19:03Z</dcterms:modified>
  <cp:category/>
  <cp:contentStatus/>
</cp:coreProperties>
</file>